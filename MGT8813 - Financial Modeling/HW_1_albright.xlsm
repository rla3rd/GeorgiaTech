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2"/>
  </bookViews>
  <sheets>
    <sheet name="Announcement" sheetId="1" state="hidden" r:id="rId2"/>
    <sheet name="Information" sheetId="2" state="visible" r:id="rId3"/>
    <sheet name="Inc_Bal_CF" sheetId="3" state="visible" r:id="rId4"/>
    <sheet name="LogRecord" sheetId="4" state="hidden" r:id="rId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<sst xmlns="http://schemas.openxmlformats.org/spreadsheetml/2006/main" count="194" uniqueCount="120">
  <si>
    <t xml:space="preserve">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</si>
  <si>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 xml:space="preserve">Name</t>
  </si>
  <si>
    <t xml:space="preserve">albright</t>
  </si>
  <si>
    <t xml:space="preserve">GTID</t>
  </si>
  <si>
    <t xml:space="preserve">XYZ Corporation</t>
  </si>
  <si>
    <t xml:space="preserve">Balance Sheet</t>
  </si>
  <si>
    <t xml:space="preserve">Income Statement </t>
  </si>
  <si>
    <t xml:space="preserve">For the period ending December 31, ______________</t>
  </si>
  <si>
    <t xml:space="preserve">Stock Statement</t>
  </si>
  <si>
    <t xml:space="preserve">Flow Statement</t>
  </si>
  <si>
    <t xml:space="preserve">Assets</t>
  </si>
  <si>
    <t xml:space="preserve">Liabilities and Stockholders' Equity</t>
  </si>
  <si>
    <t xml:space="preserve">For the period January 1 through December 31, 2016</t>
  </si>
  <si>
    <t xml:space="preserve">Change</t>
  </si>
  <si>
    <t xml:space="preserve">($ in millions)</t>
  </si>
  <si>
    <t xml:space="preserve">Current assets</t>
  </si>
  <si>
    <t xml:space="preserve"> </t>
  </si>
  <si>
    <t xml:space="preserve">Current liabilities</t>
  </si>
  <si>
    <t xml:space="preserve">   Cash and equivalents</t>
  </si>
  <si>
    <t xml:space="preserve">x</t>
  </si>
  <si>
    <t xml:space="preserve">   Accounts payable</t>
  </si>
  <si>
    <t xml:space="preserve">Total operating revenues</t>
  </si>
  <si>
    <t xml:space="preserve">   Accounts receivable</t>
  </si>
  <si>
    <t xml:space="preserve">   Notes payable</t>
  </si>
  <si>
    <t xml:space="preserve">Cost of goods sold</t>
  </si>
  <si>
    <t xml:space="preserve">   Inventories</t>
  </si>
  <si>
    <t xml:space="preserve">   Accrued expenses</t>
  </si>
  <si>
    <t xml:space="preserve">Selling, general and administrative expenses</t>
  </si>
  <si>
    <t xml:space="preserve">   Other</t>
  </si>
  <si>
    <t xml:space="preserve">        Total current liabilities</t>
  </si>
  <si>
    <t xml:space="preserve">Depreciation expense</t>
  </si>
  <si>
    <t xml:space="preserve">        Total current assets</t>
  </si>
  <si>
    <t xml:space="preserve">Operating income</t>
  </si>
  <si>
    <t xml:space="preserve">Long-term liabilities</t>
  </si>
  <si>
    <t xml:space="preserve">Other income</t>
  </si>
  <si>
    <t xml:space="preserve">Fixed assets</t>
  </si>
  <si>
    <t xml:space="preserve">  Deferred taxes</t>
  </si>
  <si>
    <t xml:space="preserve">Earnings before interest and taxes (EBIT)</t>
  </si>
  <si>
    <t xml:space="preserve">   Property, plant and equipment (Gross)</t>
  </si>
  <si>
    <t xml:space="preserve">   Long-term debt</t>
  </si>
  <si>
    <t xml:space="preserve">Interest expense</t>
  </si>
  <si>
    <t xml:space="preserve">     Less accumulated depreciation</t>
  </si>
  <si>
    <t xml:space="preserve">             Total long-term liabilities</t>
  </si>
  <si>
    <t xml:space="preserve">Pretax income</t>
  </si>
  <si>
    <t xml:space="preserve">   Net property, plant, and equipment</t>
  </si>
  <si>
    <t xml:space="preserve">Stockholders' equity</t>
  </si>
  <si>
    <t xml:space="preserve">Taxes</t>
  </si>
  <si>
    <t xml:space="preserve">        Total fixed assets</t>
  </si>
  <si>
    <t xml:space="preserve">   Preferred stock</t>
  </si>
  <si>
    <t xml:space="preserve">   Common stock ($1 par value)</t>
  </si>
  <si>
    <t xml:space="preserve">Net income</t>
  </si>
  <si>
    <t xml:space="preserve">   Capital surplus</t>
  </si>
  <si>
    <t xml:space="preserve">Total assets</t>
  </si>
  <si>
    <t xml:space="preserve">   Accumulated retained earnings</t>
  </si>
  <si>
    <t xml:space="preserve">   Less treasury stock</t>
  </si>
  <si>
    <t xml:space="preserve">              Total equity</t>
  </si>
  <si>
    <t xml:space="preserve">Toal liabilities and stockholders' equity</t>
  </si>
  <si>
    <t xml:space="preserve">Statement of Cashflows</t>
  </si>
  <si>
    <t xml:space="preserve">Statement of Cashflow</t>
  </si>
  <si>
    <t xml:space="preserve">Cash flow from Assets, Cash flow to Claimants</t>
  </si>
  <si>
    <t xml:space="preserve">January 1, 2016 -December 31, 2016</t>
  </si>
  <si>
    <t xml:space="preserve">Need 2016 I/S + 2016 Bal Sheet + 2015 Bal Sheet</t>
  </si>
  <si>
    <t xml:space="preserve">Cash flow FROM assets</t>
  </si>
  <si>
    <t xml:space="preserve">Cash flow TO Creditors &amp; Stockholders</t>
  </si>
  <si>
    <t xml:space="preserve">Balance sheet item</t>
  </si>
  <si>
    <t xml:space="preserve">L + E</t>
  </si>
  <si>
    <t xml:space="preserve">(1) Operating CF</t>
  </si>
  <si>
    <t xml:space="preserve">(1) Cash flow to creditors</t>
  </si>
  <si>
    <t xml:space="preserve">Increase ↑</t>
  </si>
  <si>
    <t xml:space="preserve">↓</t>
  </si>
  <si>
    <t xml:space="preserve">↑</t>
  </si>
  <si>
    <t xml:space="preserve">   EBIT </t>
  </si>
  <si>
    <t xml:space="preserve">    Interest paid</t>
  </si>
  <si>
    <t xml:space="preserve">Operating</t>
  </si>
  <si>
    <t xml:space="preserve">Decrease↓</t>
  </si>
  <si>
    <t xml:space="preserve"> + depreciation expense</t>
  </si>
  <si>
    <t xml:space="preserve">   -Net new borrowing</t>
  </si>
  <si>
    <t xml:space="preserve">  -Current taxes</t>
  </si>
  <si>
    <t xml:space="preserve">   CF to creditors</t>
  </si>
  <si>
    <t xml:space="preserve">The gray box indicates the impact on CASH</t>
  </si>
  <si>
    <t xml:space="preserve">    OCF</t>
  </si>
  <si>
    <t xml:space="preserve">(2) Cash flow to stockholders</t>
  </si>
  <si>
    <t xml:space="preserve">(2) Investment in Fixed assets (FA)</t>
  </si>
  <si>
    <t xml:space="preserve">    Dividends</t>
  </si>
  <si>
    <t xml:space="preserve">  Ending Net Fixed assets</t>
  </si>
  <si>
    <t xml:space="preserve">   -Net new equity</t>
  </si>
  <si>
    <t xml:space="preserve">Total CF from operating activities</t>
  </si>
  <si>
    <t xml:space="preserve">  Less Beginning Fixed assets</t>
  </si>
  <si>
    <t xml:space="preserve">CF to stockholders</t>
  </si>
  <si>
    <t xml:space="preserve">  + Depreciation expense</t>
  </si>
  <si>
    <t xml:space="preserve">Investing </t>
  </si>
  <si>
    <t xml:space="preserve">     Invt in Fixed assets</t>
  </si>
  <si>
    <t xml:space="preserve">Total CF from Investing Activities</t>
  </si>
  <si>
    <t xml:space="preserve">(3) Change in NWC</t>
  </si>
  <si>
    <t xml:space="preserve">   Ending NWC</t>
  </si>
  <si>
    <t xml:space="preserve">Financing</t>
  </si>
  <si>
    <t xml:space="preserve">   Beginning NWC</t>
  </si>
  <si>
    <t xml:space="preserve">   Change in NWC</t>
  </si>
  <si>
    <t xml:space="preserve">Cash flow to creditors &amp; stockholders = </t>
  </si>
  <si>
    <t xml:space="preserve">      (1) + (2) </t>
  </si>
  <si>
    <t xml:space="preserve">Dividends paid</t>
  </si>
  <si>
    <t xml:space="preserve">CF from assets = (1) - (2) - (3) </t>
  </si>
  <si>
    <t xml:space="preserve">Purchase of stock</t>
  </si>
  <si>
    <t xml:space="preserve">Proceeds from stock issuance</t>
  </si>
  <si>
    <t xml:space="preserve">CF from assets = </t>
  </si>
  <si>
    <t xml:space="preserve">CF to creditors + stockholders =</t>
  </si>
  <si>
    <t xml:space="preserve">Total CF from Financing Activities</t>
  </si>
  <si>
    <t xml:space="preserve">Change in cash</t>
  </si>
  <si>
    <t xml:space="preserve">Ending NWC</t>
  </si>
  <si>
    <t xml:space="preserve">Beginning NWC</t>
  </si>
  <si>
    <t xml:space="preserve">CA</t>
  </si>
  <si>
    <t xml:space="preserve">Checks to Change in Cash acount on Balance Sheet? </t>
  </si>
  <si>
    <t xml:space="preserve">CL</t>
  </si>
  <si>
    <t xml:space="preserve">NWC</t>
  </si>
  <si>
    <t xml:space="preserve">Date</t>
  </si>
  <si>
    <t xml:space="preserve">Time</t>
  </si>
  <si>
    <t xml:space="preserve">Username</t>
  </si>
  <si>
    <t xml:space="preserve">Computer Name</t>
  </si>
  <si>
    <t xml:space="preserve">jgarner47</t>
  </si>
  <si>
    <t xml:space="preserve">COB-GARJ-DW1057</t>
  </si>
</sst>
</file>

<file path=xl/styles.xml><?xml version="1.0" encoding="utf-8"?>
<styleSheet xmlns="http://schemas.openxmlformats.org/spreadsheetml/2006/main">
  <numFmts count="10">
    <numFmt numFmtId="164" formatCode="General"/>
    <numFmt numFmtId="165" formatCode="0%"/>
    <numFmt numFmtId="166" formatCode="\ * #,##0.00\ ;\ * \(#,##0.00\);\ * \-#\ ;\ @\ "/>
    <numFmt numFmtId="167" formatCode="\ * #,##0\ ;\ * \(#,##0\);\ * \-#\ ;\ @\ "/>
    <numFmt numFmtId="168" formatCode="&quot; $&quot;* #,##0\ ;&quot; $&quot;* \(#,##0\);&quot; $&quot;* &quot;- &quot;;\ @\ "/>
    <numFmt numFmtId="169" formatCode="\ * #,##0\ ;\ * \(#,##0\);\ * &quot;- &quot;;\ @\ "/>
    <numFmt numFmtId="170" formatCode="&quot; $&quot;* #,##0.00\ ;&quot; $&quot;* \(#,##0.00\);&quot; $&quot;* \-#\ ;\ @\ "/>
    <numFmt numFmtId="171" formatCode="&quot; $&quot;* #,##0\ ;&quot; $&quot;* \(#,##0\);&quot; $&quot;* \-#\ ;\ @\ "/>
    <numFmt numFmtId="172" formatCode="m/d/yyyy"/>
    <numFmt numFmtId="173" formatCode="h:mm:ss\ AM/PM"/>
  </numFmts>
  <fonts count="10">
    <font>
      <sz val="11"/>
      <color rgb="FF000000"/>
      <name val="Calibri"/>
      <family val="2"/>
      <charset val="1"/>
    </font>
    <font>
      <sz val="10"/>
      <name val="Arial"/>
      <family val="0"/>
    </font>
    <font>
      <sz val="10"/>
      <name val="Arial"/>
      <family val="0"/>
    </font>
    <font>
      <sz val="10"/>
      <name val="Arial"/>
      <family val="0"/>
    </font>
    <font>
      <sz val="12"/>
      <color rgb="FF222222"/>
      <name val="Arial"/>
      <family val="2"/>
      <charset val="1"/>
    </font>
    <font>
      <b val="true"/>
      <sz val="11"/>
      <color rgb="FF000000"/>
      <name val="Calibri"/>
      <family val="2"/>
      <charset val="1"/>
    </font>
    <font>
      <b val="true"/>
      <sz val="10"/>
      <name val="Arial"/>
      <family val="2"/>
      <charset val="1"/>
    </font>
    <font>
      <u val="single"/>
      <sz val="10"/>
      <name val="Arial"/>
      <family val="2"/>
      <charset val="1"/>
    </font>
    <font>
      <sz val="10"/>
      <name val="Arial"/>
      <family val="2"/>
      <charset val="1"/>
    </font>
    <font>
      <u val="single"/>
      <sz val="11"/>
      <color rgb="FF000000"/>
      <name val="Calibri"/>
      <family val="2"/>
      <charset val="1"/>
    </font>
  </fonts>
  <fills count="8">
    <fill>
      <patternFill patternType="none"/>
    </fill>
    <fill>
      <patternFill patternType="gray125"/>
    </fill>
    <fill>
      <patternFill patternType="solid">
        <fgColor rgb="FFFFFFFF"/>
        <bgColor rgb="FFEDEDED"/>
      </patternFill>
    </fill>
    <fill>
      <patternFill patternType="solid">
        <fgColor rgb="FFFFF2CC"/>
        <bgColor rgb="FFEDEDED"/>
      </patternFill>
    </fill>
    <fill>
      <patternFill patternType="solid">
        <fgColor rgb="FFE7E6E6"/>
        <bgColor rgb="FFEDEDED"/>
      </patternFill>
    </fill>
    <fill>
      <patternFill patternType="solid">
        <fgColor rgb="FFEDEDED"/>
        <bgColor rgb="FFE7E6E6"/>
      </patternFill>
    </fill>
    <fill>
      <patternFill patternType="solid">
        <fgColor rgb="FFDEEBF7"/>
        <bgColor rgb="FFE7E6E6"/>
      </patternFill>
    </fill>
    <fill>
      <patternFill patternType="solid">
        <fgColor rgb="FFAFABAB"/>
        <bgColor rgb="FF969696"/>
      </patternFill>
    </fill>
  </fills>
  <borders count="17">
    <border diagonalUp="false" diagonalDown="false">
      <left/>
      <right/>
      <top/>
      <bottom/>
      <diagonal/>
    </border>
    <border diagonalUp="false" diagonalDown="false">
      <left style="thin"/>
      <right style="thin"/>
      <top style="thin"/>
      <bottom style="thin"/>
      <diagonal/>
    </border>
    <border diagonalUp="false" diagonalDown="false">
      <left style="medium"/>
      <right style="medium"/>
      <top style="medium"/>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medium"/>
      <top/>
      <bottom style="medium"/>
      <diagonal/>
    </border>
    <border diagonalUp="false" diagonalDown="false">
      <left style="medium"/>
      <right/>
      <top/>
      <bottom style="medium"/>
      <diagonal/>
    </border>
    <border diagonalUp="false" diagonalDown="false">
      <left/>
      <right style="medium"/>
      <top/>
      <bottom style="medium"/>
      <diagonal/>
    </border>
    <border diagonalUp="false" diagonalDown="false">
      <left/>
      <right/>
      <top/>
      <bottom style="double"/>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style="medium"/>
      <top/>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style="medium"/>
      <bottom style="medium"/>
      <diagonal/>
    </border>
    <border diagonalUp="false" diagonalDown="false">
      <left/>
      <right/>
      <top/>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9" fontId="1" fillId="0" borderId="0" applyFont="true" applyBorder="false" applyAlignment="false" applyProtection="false"/>
  </cellStyleXfs>
  <cellXfs count="7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7"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center" vertical="bottom" textRotation="0" wrapText="false" indent="0" shrinkToFit="false"/>
      <protection locked="true" hidden="false"/>
    </xf>
    <xf numFmtId="164" fontId="0" fillId="2"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7" fontId="0" fillId="0" borderId="0" xfId="15"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false" applyProtection="false">
      <alignment horizontal="general" vertical="bottom" textRotation="0" wrapText="false" indent="0" shrinkToFit="false"/>
      <protection locked="true" hidden="false"/>
    </xf>
    <xf numFmtId="168" fontId="6" fillId="3" borderId="0" xfId="0" applyFont="true" applyBorder="false" applyAlignment="false" applyProtection="false">
      <alignment horizontal="general" vertical="bottom" textRotation="0" wrapText="false" indent="0" shrinkToFit="false"/>
      <protection locked="true" hidden="false"/>
    </xf>
    <xf numFmtId="167" fontId="0" fillId="4" borderId="1" xfId="15"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9"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9" fontId="9" fillId="0" borderId="0" xfId="0" applyFont="true" applyBorder="false" applyAlignment="false" applyProtection="false">
      <alignment horizontal="general" vertical="bottom" textRotation="0" wrapText="false" indent="0" shrinkToFit="false"/>
      <protection locked="true" hidden="false"/>
    </xf>
    <xf numFmtId="168" fontId="0" fillId="0" borderId="8" xfId="0" applyFont="false" applyBorder="true" applyAlignment="false" applyProtection="false">
      <alignment horizontal="general" vertical="bottom" textRotation="0" wrapText="false" indent="0" shrinkToFit="false"/>
      <protection locked="true" hidden="false"/>
    </xf>
    <xf numFmtId="168" fontId="5" fillId="0" borderId="0" xfId="0" applyFont="true" applyBorder="false" applyAlignment="false" applyProtection="false">
      <alignment horizontal="general" vertical="bottom" textRotation="0" wrapText="false" indent="0" shrinkToFit="false"/>
      <protection locked="true" hidden="false"/>
    </xf>
    <xf numFmtId="171" fontId="7"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71" fontId="0" fillId="0" borderId="0" xfId="17"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5" borderId="1" xfId="0" applyFont="true" applyBorder="true" applyAlignment="false" applyProtection="false">
      <alignment horizontal="general" vertical="bottom" textRotation="0" wrapText="false" indent="0" shrinkToFit="false"/>
      <protection locked="true" hidden="false"/>
    </xf>
    <xf numFmtId="169" fontId="0" fillId="5" borderId="1" xfId="0" applyFont="false" applyBorder="true" applyAlignment="false" applyProtection="false">
      <alignment horizontal="general" vertical="bottom" textRotation="0" wrapText="false" indent="0" shrinkToFit="false"/>
      <protection locked="true" hidden="false"/>
    </xf>
    <xf numFmtId="164" fontId="9" fillId="6" borderId="2" xfId="0" applyFont="true" applyBorder="true" applyAlignment="false" applyProtection="false">
      <alignment horizontal="general" vertical="bottom" textRotation="0" wrapText="false" indent="0" shrinkToFit="false"/>
      <protection locked="true" hidden="false"/>
    </xf>
    <xf numFmtId="164" fontId="9" fillId="6" borderId="3" xfId="0" applyFont="true" applyBorder="true" applyAlignment="true" applyProtection="false">
      <alignment horizontal="center" vertical="bottom" textRotation="0" wrapText="false" indent="0" shrinkToFit="false"/>
      <protection locked="true" hidden="false"/>
    </xf>
    <xf numFmtId="164" fontId="9" fillId="6" borderId="4"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6" borderId="12" xfId="0" applyFont="true" applyBorder="true" applyAlignment="false" applyProtection="false">
      <alignment horizontal="general" vertical="bottom" textRotation="0" wrapText="false" indent="0" shrinkToFit="false"/>
      <protection locked="true" hidden="false"/>
    </xf>
    <xf numFmtId="164" fontId="0" fillId="7" borderId="13" xfId="0" applyFont="true" applyBorder="true" applyAlignment="true" applyProtection="false">
      <alignment horizontal="center" vertical="bottom" textRotation="0" wrapText="false" indent="0" shrinkToFit="false"/>
      <protection locked="true" hidden="false"/>
    </xf>
    <xf numFmtId="164" fontId="0" fillId="7" borderId="14" xfId="0" applyFont="true" applyBorder="true" applyAlignment="true" applyProtection="false">
      <alignment horizontal="center" vertical="bottom" textRotation="0" wrapText="false" indent="0" shrinkToFit="false"/>
      <protection locked="true" hidden="false"/>
    </xf>
    <xf numFmtId="169" fontId="8" fillId="5" borderId="1" xfId="0" applyFont="true" applyBorder="true" applyAlignment="false" applyProtection="false">
      <alignment horizontal="general" vertical="bottom" textRotation="0" wrapText="false" indent="0" shrinkToFit="false"/>
      <protection locked="true" hidden="false"/>
    </xf>
    <xf numFmtId="164" fontId="0" fillId="6" borderId="5" xfId="0" applyFont="true" applyBorder="true" applyAlignment="false" applyProtection="false">
      <alignment horizontal="general" vertical="bottom" textRotation="0" wrapText="false" indent="0" shrinkToFit="false"/>
      <protection locked="true" hidden="false"/>
    </xf>
    <xf numFmtId="164" fontId="0" fillId="7" borderId="6" xfId="0" applyFont="true" applyBorder="true" applyAlignment="true" applyProtection="false">
      <alignment horizontal="center" vertical="bottom" textRotation="0" wrapText="false" indent="0" shrinkToFit="false"/>
      <protection locked="true" hidden="false"/>
    </xf>
    <xf numFmtId="164" fontId="0" fillId="7" borderId="7" xfId="0" applyFont="true" applyBorder="true" applyAlignment="true" applyProtection="false">
      <alignment horizontal="center" vertical="bottom" textRotation="0" wrapText="false" indent="0" shrinkToFit="false"/>
      <protection locked="true" hidden="false"/>
    </xf>
    <xf numFmtId="169" fontId="7" fillId="5" borderId="1" xfId="0" applyFont="true" applyBorder="true" applyAlignment="false" applyProtection="false">
      <alignment horizontal="general" vertical="bottom" textRotation="0" wrapText="false" indent="0" shrinkToFit="false"/>
      <protection locked="true" hidden="false"/>
    </xf>
    <xf numFmtId="169" fontId="0" fillId="4" borderId="1" xfId="0" applyFont="false" applyBorder="true" applyAlignment="false" applyProtection="false">
      <alignment horizontal="general" vertical="bottom" textRotation="0" wrapText="false" indent="0" shrinkToFit="false"/>
      <protection locked="true" hidden="false"/>
    </xf>
    <xf numFmtId="169" fontId="8" fillId="0"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69" fontId="0" fillId="4" borderId="15" xfId="0" applyFont="false" applyBorder="true" applyAlignment="false" applyProtection="false">
      <alignment horizontal="general" vertical="bottom" textRotation="0" wrapText="false" indent="0" shrinkToFit="false"/>
      <protection locked="true" hidden="false"/>
    </xf>
    <xf numFmtId="169" fontId="7" fillId="4" borderId="1" xfId="0" applyFont="true" applyBorder="true" applyAlignment="false" applyProtection="false">
      <alignment horizontal="general" vertical="bottom" textRotation="0" wrapText="false" indent="0" shrinkToFit="false"/>
      <protection locked="true" hidden="false"/>
    </xf>
    <xf numFmtId="168" fontId="8" fillId="4" borderId="0" xfId="0" applyFont="true" applyBorder="false" applyAlignment="false" applyProtection="false">
      <alignment horizontal="general" vertical="bottom" textRotation="0" wrapText="false" indent="0" shrinkToFit="false"/>
      <protection locked="true" hidden="false"/>
    </xf>
    <xf numFmtId="169" fontId="7" fillId="4" borderId="0" xfId="0" applyFont="true" applyBorder="false" applyAlignment="false" applyProtection="false">
      <alignment horizontal="general" vertical="bottom" textRotation="0" wrapText="false" indent="0" shrinkToFit="false"/>
      <protection locked="true" hidden="false"/>
    </xf>
    <xf numFmtId="169" fontId="0" fillId="4" borderId="1" xfId="0" applyFont="true" applyBorder="true" applyAlignment="false" applyProtection="false">
      <alignment horizontal="general" vertical="bottom" textRotation="0" wrapText="false" indent="0" shrinkToFit="false"/>
      <protection locked="true" hidden="false"/>
    </xf>
    <xf numFmtId="169" fontId="8" fillId="4" borderId="1" xfId="0" applyFont="true" applyBorder="true" applyAlignment="false" applyProtection="false">
      <alignment horizontal="general" vertical="bottom" textRotation="0" wrapText="false" indent="0" shrinkToFit="false"/>
      <protection locked="true" hidden="false"/>
    </xf>
    <xf numFmtId="169" fontId="7" fillId="0" borderId="15"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9" fontId="6" fillId="4" borderId="15" xfId="0" applyFont="true" applyBorder="tru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8" fontId="0" fillId="5" borderId="1"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5" fillId="5" borderId="15" xfId="0" applyFont="tru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xf numFmtId="173" fontId="0" fillId="0" borderId="0" xfId="0" applyFont="fals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AFABAB"/>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EDEDED"/>
      <rgbColor rgb="FFE7E6E6"/>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11.58984375" defaultRowHeight="13.8" zeroHeight="false" outlineLevelRow="0" outlineLevelCol="0"/>
  <cols>
    <col collapsed="false" customWidth="true" hidden="false" outlineLevel="0" max="1" min="1" style="0" width="73.01"/>
    <col collapsed="false" customWidth="true" hidden="false" outlineLevel="0" max="64" min="2" style="0" width="8.67"/>
  </cols>
  <sheetData>
    <row r="1" customFormat="false" ht="64.9" hidden="false" customHeight="false" outlineLevel="0" collapsed="false">
      <c r="A1" s="1" t="s">
        <v>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K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ColWidth="11.58984375" defaultRowHeight="13.8" zeroHeight="false" outlineLevelRow="0" outlineLevelCol="0"/>
  <cols>
    <col collapsed="false" customWidth="true" hidden="false" outlineLevel="0" max="1" min="1" style="0" width="19.14"/>
    <col collapsed="false" customWidth="true" hidden="false" outlineLevel="0" max="2" min="2" style="0" width="21.14"/>
    <col collapsed="false" customWidth="true" hidden="false" outlineLevel="0" max="64" min="3" style="0" width="8.67"/>
  </cols>
  <sheetData>
    <row r="1" customFormat="false" ht="13.8" hidden="false" customHeight="false" outlineLevel="0" collapsed="false">
      <c r="A1" s="0" t="s">
        <v>1</v>
      </c>
      <c r="B1" s="2" t="s">
        <v>2</v>
      </c>
    </row>
    <row r="2" customFormat="false" ht="13.8" hidden="false" customHeight="false" outlineLevel="0" collapsed="false">
      <c r="A2" s="0" t="s">
        <v>3</v>
      </c>
      <c r="B2" s="2"/>
    </row>
    <row r="9" customFormat="false" ht="13.8" hidden="false" customHeight="false" outlineLevel="0" collapsed="false">
      <c r="K9" s="3"/>
    </row>
    <row r="10" customFormat="false" ht="13.8" hidden="false" customHeight="false" outlineLevel="0" collapsed="false">
      <c r="K10" s="3"/>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3:Y62"/>
  <sheetViews>
    <sheetView showFormulas="false" showGridLines="true" showRowColHeaders="true" showZeros="true" rightToLeft="false" tabSelected="true" showOutlineSymbols="true" defaultGridColor="true" view="normal" topLeftCell="A34" colorId="64" zoomScale="100" zoomScaleNormal="100" zoomScalePageLayoutView="100" workbookViewId="0">
      <selection pane="topLeft" activeCell="B57" activeCellId="0" sqref="B57"/>
    </sheetView>
  </sheetViews>
  <sheetFormatPr defaultColWidth="11.58984375" defaultRowHeight="13.8" zeroHeight="false" outlineLevelRow="0" outlineLevelCol="0"/>
  <cols>
    <col collapsed="false" customWidth="true" hidden="false" outlineLevel="0" max="1" min="1" style="0" width="1.85"/>
    <col collapsed="false" customWidth="true" hidden="false" outlineLevel="0" max="2" min="2" style="0" width="29.71"/>
    <col collapsed="false" customWidth="true" hidden="false" outlineLevel="0" max="3" min="3" style="0" width="8.67"/>
    <col collapsed="false" customWidth="true" hidden="false" outlineLevel="0" max="4" min="4" style="0" width="5.57"/>
    <col collapsed="false" customWidth="true" hidden="false" outlineLevel="0" max="5" min="5" style="0" width="10.12"/>
    <col collapsed="false" customWidth="true" hidden="false" outlineLevel="0" max="6" min="6" style="0" width="8.67"/>
    <col collapsed="false" customWidth="true" hidden="false" outlineLevel="0" max="7" min="7" style="0" width="14.69"/>
    <col collapsed="false" customWidth="true" hidden="false" outlineLevel="0" max="8" min="8" style="0" width="13.57"/>
    <col collapsed="false" customWidth="true" hidden="false" outlineLevel="0" max="9" min="9" style="0" width="8.67"/>
    <col collapsed="false" customWidth="true" hidden="false" outlineLevel="0" max="10" min="10" style="0" width="31.01"/>
    <col collapsed="false" customWidth="true" hidden="false" outlineLevel="0" max="13" min="11" style="0" width="8.67"/>
    <col collapsed="false" customWidth="true" hidden="false" outlineLevel="0" max="14" min="14" style="0" width="15.42"/>
    <col collapsed="false" customWidth="true" hidden="false" outlineLevel="0" max="15" min="15" style="0" width="51.42"/>
    <col collapsed="false" customWidth="true" hidden="false" outlineLevel="0" max="16" min="16" style="0" width="2.31"/>
    <col collapsed="false" customWidth="true" hidden="false" outlineLevel="0" max="17" min="17" style="0" width="8.67"/>
    <col collapsed="false" customWidth="true" hidden="false" outlineLevel="0" max="18" min="18" style="0" width="19"/>
    <col collapsed="false" customWidth="true" hidden="false" outlineLevel="0" max="19" min="19" style="0" width="13.43"/>
    <col collapsed="false" customWidth="true" hidden="false" outlineLevel="0" max="20" min="20" style="0" width="11.99"/>
    <col collapsed="false" customWidth="true" hidden="false" outlineLevel="0" max="21" min="21" style="0" width="8.67"/>
    <col collapsed="false" customWidth="true" hidden="false" outlineLevel="0" max="22" min="22" style="0" width="17.86"/>
    <col collapsed="false" customWidth="true" hidden="false" outlineLevel="0" max="23" min="23" style="0" width="8.67"/>
    <col collapsed="false" customWidth="true" hidden="false" outlineLevel="0" max="24" min="24" style="0" width="10.85"/>
    <col collapsed="false" customWidth="true" hidden="false" outlineLevel="0" max="64" min="25" style="0" width="8.67"/>
  </cols>
  <sheetData>
    <row r="3" customFormat="false" ht="13.8" hidden="false" customHeight="false" outlineLevel="0" collapsed="false">
      <c r="E3" s="4"/>
      <c r="F3" s="4"/>
      <c r="H3" s="5" t="s">
        <v>4</v>
      </c>
      <c r="I3" s="5"/>
      <c r="J3" s="5"/>
      <c r="K3" s="5"/>
      <c r="N3" s="6" t="s">
        <v>5</v>
      </c>
      <c r="X3" s="7" t="s">
        <v>6</v>
      </c>
      <c r="Y3" s="8"/>
    </row>
    <row r="4" customFormat="false" ht="13.8" hidden="false" customHeight="false" outlineLevel="0" collapsed="false">
      <c r="E4" s="4"/>
      <c r="F4" s="4"/>
      <c r="H4" s="5" t="s">
        <v>7</v>
      </c>
      <c r="I4" s="5"/>
      <c r="J4" s="5"/>
      <c r="K4" s="5"/>
      <c r="N4" s="9" t="s">
        <v>8</v>
      </c>
      <c r="R4" s="4"/>
      <c r="S4" s="5" t="s">
        <v>4</v>
      </c>
      <c r="T4" s="4"/>
      <c r="U4" s="4"/>
      <c r="X4" s="10" t="s">
        <v>9</v>
      </c>
      <c r="Y4" s="11"/>
    </row>
    <row r="5" customFormat="false" ht="13.8" hidden="false" customHeight="false" outlineLevel="0" collapsed="false">
      <c r="B5" s="12" t="s">
        <v>10</v>
      </c>
      <c r="C5" s="12"/>
      <c r="D5" s="12"/>
      <c r="E5" s="12"/>
      <c r="F5" s="12"/>
      <c r="I5" s="12" t="s">
        <v>11</v>
      </c>
      <c r="J5" s="12"/>
      <c r="K5" s="12"/>
      <c r="L5" s="12"/>
      <c r="R5" s="4"/>
      <c r="S5" s="5" t="s">
        <v>12</v>
      </c>
      <c r="T5" s="4"/>
      <c r="U5" s="4"/>
    </row>
    <row r="6" customFormat="false" ht="13.8" hidden="false" customHeight="false" outlineLevel="0" collapsed="false">
      <c r="E6" s="0" t="n">
        <v>2016</v>
      </c>
      <c r="F6" s="0" t="n">
        <v>2015</v>
      </c>
      <c r="G6" s="13" t="s">
        <v>13</v>
      </c>
      <c r="K6" s="0" t="n">
        <v>2016</v>
      </c>
      <c r="L6" s="0" t="n">
        <v>2015</v>
      </c>
      <c r="M6" s="13" t="s">
        <v>13</v>
      </c>
      <c r="R6" s="4"/>
      <c r="S6" s="5" t="s">
        <v>14</v>
      </c>
      <c r="T6" s="4"/>
      <c r="U6" s="4"/>
    </row>
    <row r="7" customFormat="false" ht="13.8" hidden="false" customHeight="false" outlineLevel="0" collapsed="false">
      <c r="B7" s="0" t="s">
        <v>15</v>
      </c>
      <c r="E7" s="0" t="s">
        <v>16</v>
      </c>
      <c r="F7" s="0" t="s">
        <v>16</v>
      </c>
      <c r="I7" s="14" t="s">
        <v>17</v>
      </c>
      <c r="J7" s="14"/>
      <c r="K7" s="14"/>
      <c r="L7" s="14"/>
      <c r="M7" s="15"/>
    </row>
    <row r="8" customFormat="false" ht="13.8" hidden="false" customHeight="false" outlineLevel="0" collapsed="false">
      <c r="B8" s="16" t="s">
        <v>18</v>
      </c>
      <c r="C8" s="16"/>
      <c r="D8" s="16"/>
      <c r="E8" s="17" t="n">
        <v>172</v>
      </c>
      <c r="F8" s="17" t="n">
        <v>117</v>
      </c>
      <c r="G8" s="18" t="n">
        <f aca="false">E8-F8</f>
        <v>55</v>
      </c>
      <c r="H8" s="0" t="s">
        <v>19</v>
      </c>
      <c r="I8" s="14" t="s">
        <v>20</v>
      </c>
      <c r="J8" s="14"/>
      <c r="K8" s="19" t="n">
        <v>223</v>
      </c>
      <c r="L8" s="19" t="n">
        <v>203</v>
      </c>
      <c r="M8" s="18" t="n">
        <f aca="false">K8-L8</f>
        <v>20</v>
      </c>
      <c r="N8" s="0" t="s">
        <v>19</v>
      </c>
      <c r="Q8" s="0" t="s">
        <v>21</v>
      </c>
      <c r="W8" s="19" t="n">
        <v>2673</v>
      </c>
    </row>
    <row r="9" customFormat="false" ht="13.8" hidden="false" customHeight="false" outlineLevel="0" collapsed="false">
      <c r="B9" s="0" t="s">
        <v>22</v>
      </c>
      <c r="E9" s="0" t="n">
        <v>245</v>
      </c>
      <c r="F9" s="0" t="n">
        <v>272</v>
      </c>
      <c r="G9" s="18" t="n">
        <f aca="false">E9-F9</f>
        <v>-27</v>
      </c>
      <c r="H9" s="0" t="s">
        <v>19</v>
      </c>
      <c r="I9" s="14" t="s">
        <v>23</v>
      </c>
      <c r="J9" s="14"/>
      <c r="K9" s="14" t="n">
        <v>63</v>
      </c>
      <c r="L9" s="14" t="n">
        <v>53</v>
      </c>
      <c r="M9" s="18" t="n">
        <f aca="false">K9-L9</f>
        <v>10</v>
      </c>
      <c r="N9" s="0" t="s">
        <v>19</v>
      </c>
      <c r="Q9" s="0" t="s">
        <v>24</v>
      </c>
      <c r="W9" s="20" t="n">
        <v>1737</v>
      </c>
      <c r="X9" s="21" t="s">
        <v>16</v>
      </c>
    </row>
    <row r="10" customFormat="false" ht="13.8" hidden="false" customHeight="false" outlineLevel="0" collapsed="false">
      <c r="B10" s="0" t="s">
        <v>25</v>
      </c>
      <c r="E10" s="0" t="n">
        <v>325</v>
      </c>
      <c r="F10" s="0" t="n">
        <v>275</v>
      </c>
      <c r="G10" s="18" t="n">
        <f aca="false">E10-F10</f>
        <v>50</v>
      </c>
      <c r="H10" s="0" t="s">
        <v>19</v>
      </c>
      <c r="I10" s="14" t="s">
        <v>26</v>
      </c>
      <c r="J10" s="14"/>
      <c r="K10" s="22" t="n">
        <v>273</v>
      </c>
      <c r="L10" s="22" t="n">
        <v>218</v>
      </c>
      <c r="M10" s="18" t="n">
        <f aca="false">K10-L10</f>
        <v>55</v>
      </c>
      <c r="N10" s="0" t="s">
        <v>19</v>
      </c>
      <c r="Q10" s="0" t="s">
        <v>27</v>
      </c>
      <c r="W10" s="20" t="n">
        <v>423</v>
      </c>
    </row>
    <row r="11" customFormat="false" ht="13.8" hidden="false" customHeight="false" outlineLevel="0" collapsed="false">
      <c r="B11" s="0" t="s">
        <v>28</v>
      </c>
      <c r="E11" s="22" t="n">
        <v>37</v>
      </c>
      <c r="F11" s="22" t="n">
        <v>35</v>
      </c>
      <c r="G11" s="18" t="n">
        <f aca="false">E11-F11</f>
        <v>2</v>
      </c>
      <c r="H11" s="0" t="s">
        <v>19</v>
      </c>
      <c r="I11" s="14" t="s">
        <v>29</v>
      </c>
      <c r="J11" s="14"/>
      <c r="K11" s="14" t="n">
        <f aca="false">SUM(K8:K10)</f>
        <v>559</v>
      </c>
      <c r="L11" s="14" t="n">
        <f aca="false">SUM(L8:L10)</f>
        <v>474</v>
      </c>
      <c r="M11" s="15"/>
      <c r="Q11" s="0" t="s">
        <v>30</v>
      </c>
      <c r="W11" s="23" t="n">
        <v>106</v>
      </c>
    </row>
    <row r="12" customFormat="false" ht="13.8" hidden="false" customHeight="false" outlineLevel="0" collapsed="false">
      <c r="B12" s="0" t="s">
        <v>31</v>
      </c>
      <c r="E12" s="19" t="n">
        <f aca="false">SUM(E8:E11)</f>
        <v>779</v>
      </c>
      <c r="F12" s="19" t="n">
        <f aca="false">SUM(F8:F11)</f>
        <v>699</v>
      </c>
      <c r="G12" s="15"/>
      <c r="I12" s="14"/>
      <c r="J12" s="14"/>
      <c r="K12" s="14"/>
      <c r="L12" s="14"/>
      <c r="M12" s="15"/>
      <c r="Q12" s="0" t="s">
        <v>32</v>
      </c>
      <c r="W12" s="20" t="n">
        <f aca="false">+W8-SUM(W9:W11)</f>
        <v>407</v>
      </c>
    </row>
    <row r="13" customFormat="false" ht="13.8" hidden="false" customHeight="false" outlineLevel="0" collapsed="false">
      <c r="G13" s="15"/>
      <c r="I13" s="14" t="s">
        <v>33</v>
      </c>
      <c r="J13" s="14"/>
      <c r="K13" s="14"/>
      <c r="L13" s="14"/>
      <c r="M13" s="15"/>
      <c r="Q13" s="0" t="s">
        <v>34</v>
      </c>
      <c r="W13" s="23" t="n">
        <v>42</v>
      </c>
    </row>
    <row r="14" customFormat="false" ht="13.8" hidden="false" customHeight="false" outlineLevel="0" collapsed="false">
      <c r="B14" s="0" t="s">
        <v>35</v>
      </c>
      <c r="E14" s="0" t="s">
        <v>16</v>
      </c>
      <c r="F14" s="0" t="s">
        <v>16</v>
      </c>
      <c r="G14" s="15"/>
      <c r="I14" s="14" t="s">
        <v>36</v>
      </c>
      <c r="J14" s="14"/>
      <c r="K14" s="19" t="n">
        <v>112</v>
      </c>
      <c r="L14" s="19" t="n">
        <v>98</v>
      </c>
      <c r="M14" s="18" t="n">
        <f aca="false">K14-L14</f>
        <v>14</v>
      </c>
      <c r="N14" s="0" t="s">
        <v>19</v>
      </c>
      <c r="Q14" s="0" t="s">
        <v>37</v>
      </c>
      <c r="W14" s="20" t="n">
        <f aca="false">+W13+W12</f>
        <v>449</v>
      </c>
    </row>
    <row r="15" customFormat="false" ht="13.8" hidden="false" customHeight="false" outlineLevel="0" collapsed="false">
      <c r="B15" s="0" t="s">
        <v>38</v>
      </c>
      <c r="E15" s="19" t="n">
        <v>1891</v>
      </c>
      <c r="F15" s="19" t="n">
        <v>1623</v>
      </c>
      <c r="G15" s="18" t="n">
        <f aca="false">E15-F15</f>
        <v>268</v>
      </c>
      <c r="H15" s="0" t="s">
        <v>19</v>
      </c>
      <c r="I15" s="24" t="s">
        <v>39</v>
      </c>
      <c r="J15" s="24"/>
      <c r="K15" s="22" t="n">
        <v>600</v>
      </c>
      <c r="L15" s="22" t="n">
        <v>501</v>
      </c>
      <c r="M15" s="18" t="n">
        <f aca="false">K15-L15</f>
        <v>99</v>
      </c>
      <c r="N15" s="0" t="s">
        <v>19</v>
      </c>
      <c r="Q15" s="0" t="s">
        <v>40</v>
      </c>
      <c r="W15" s="23" t="n">
        <v>63</v>
      </c>
    </row>
    <row r="16" customFormat="false" ht="13.8" hidden="false" customHeight="false" outlineLevel="0" collapsed="false">
      <c r="B16" s="0" t="s">
        <v>41</v>
      </c>
      <c r="E16" s="23" t="n">
        <v>-625</v>
      </c>
      <c r="F16" s="23" t="n">
        <v>-519</v>
      </c>
      <c r="G16" s="15" t="s">
        <v>16</v>
      </c>
      <c r="I16" s="14" t="s">
        <v>42</v>
      </c>
      <c r="J16" s="14"/>
      <c r="K16" s="19" t="n">
        <f aca="false">+K15+K14</f>
        <v>712</v>
      </c>
      <c r="L16" s="19" t="n">
        <f aca="false">+L15+L14</f>
        <v>599</v>
      </c>
      <c r="M16" s="15" t="s">
        <v>16</v>
      </c>
      <c r="Q16" s="0" t="s">
        <v>43</v>
      </c>
      <c r="W16" s="20" t="n">
        <f aca="false">+W14-W15</f>
        <v>386</v>
      </c>
    </row>
    <row r="17" customFormat="false" ht="13.8" hidden="false" customHeight="false" outlineLevel="0" collapsed="false">
      <c r="B17" s="0" t="s">
        <v>44</v>
      </c>
      <c r="E17" s="0" t="n">
        <f aca="false">+E16+E15</f>
        <v>1266</v>
      </c>
      <c r="F17" s="0" t="n">
        <f aca="false">+F16+F15</f>
        <v>1104</v>
      </c>
      <c r="G17" s="15" t="s">
        <v>16</v>
      </c>
      <c r="I17" s="14" t="s">
        <v>45</v>
      </c>
      <c r="J17" s="14"/>
      <c r="K17" s="14"/>
      <c r="L17" s="14"/>
      <c r="M17" s="15"/>
      <c r="Q17" s="0" t="s">
        <v>46</v>
      </c>
      <c r="W17" s="25" t="n">
        <f aca="false">W16*0.35</f>
        <v>135.1</v>
      </c>
      <c r="Y17" s="0" t="s">
        <v>16</v>
      </c>
    </row>
    <row r="18" customFormat="false" ht="13.8" hidden="false" customHeight="false" outlineLevel="0" collapsed="false">
      <c r="B18" s="0" t="s">
        <v>47</v>
      </c>
      <c r="E18" s="19" t="n">
        <f aca="false">E17</f>
        <v>1266</v>
      </c>
      <c r="F18" s="19" t="n">
        <f aca="false">F17</f>
        <v>1104</v>
      </c>
      <c r="G18" s="19"/>
      <c r="I18" s="14" t="s">
        <v>48</v>
      </c>
      <c r="J18" s="14"/>
      <c r="K18" s="19" t="n">
        <v>35</v>
      </c>
      <c r="L18" s="19" t="n">
        <v>35</v>
      </c>
      <c r="M18" s="18" t="n">
        <f aca="false">K18-L18</f>
        <v>0</v>
      </c>
      <c r="N18" s="0" t="s">
        <v>19</v>
      </c>
      <c r="Y18" s="0" t="s">
        <v>16</v>
      </c>
    </row>
    <row r="19" customFormat="false" ht="13.8" hidden="false" customHeight="false" outlineLevel="0" collapsed="false">
      <c r="I19" s="14" t="s">
        <v>49</v>
      </c>
      <c r="J19" s="14"/>
      <c r="K19" s="14" t="n">
        <v>62</v>
      </c>
      <c r="L19" s="14" t="n">
        <v>52</v>
      </c>
      <c r="M19" s="18" t="n">
        <f aca="false">K19-L19</f>
        <v>10</v>
      </c>
      <c r="N19" s="0" t="s">
        <v>19</v>
      </c>
      <c r="Q19" s="0" t="s">
        <v>50</v>
      </c>
      <c r="W19" s="26" t="n">
        <f aca="false">+W16-W17</f>
        <v>250.9</v>
      </c>
    </row>
    <row r="20" customFormat="false" ht="13.8" hidden="false" customHeight="false" outlineLevel="0" collapsed="false">
      <c r="I20" s="14" t="s">
        <v>51</v>
      </c>
      <c r="J20" s="14"/>
      <c r="K20" s="14" t="n">
        <v>335</v>
      </c>
      <c r="L20" s="14" t="n">
        <v>315</v>
      </c>
      <c r="M20" s="18" t="n">
        <f aca="false">K20-L20</f>
        <v>20</v>
      </c>
      <c r="N20" s="0" t="s">
        <v>19</v>
      </c>
      <c r="Q20" s="0" t="s">
        <v>16</v>
      </c>
      <c r="R20" s="0" t="s">
        <v>16</v>
      </c>
    </row>
    <row r="21" customFormat="false" ht="13.8" hidden="false" customHeight="false" outlineLevel="0" collapsed="false">
      <c r="B21" s="4" t="s">
        <v>52</v>
      </c>
      <c r="C21" s="4"/>
      <c r="D21" s="4"/>
      <c r="E21" s="27" t="n">
        <f aca="false">+E18+E12</f>
        <v>2045</v>
      </c>
      <c r="F21" s="27" t="n">
        <f aca="false">+F18+F12</f>
        <v>1803</v>
      </c>
      <c r="G21" s="19"/>
      <c r="I21" s="14" t="s">
        <v>53</v>
      </c>
      <c r="J21" s="14"/>
      <c r="K21" s="14" t="n">
        <v>375</v>
      </c>
      <c r="L21" s="14" t="n">
        <v>355</v>
      </c>
      <c r="M21" s="18" t="n">
        <f aca="false">K21-L21</f>
        <v>20</v>
      </c>
      <c r="N21" s="0" t="s">
        <v>19</v>
      </c>
    </row>
    <row r="22" customFormat="false" ht="13.8" hidden="false" customHeight="false" outlineLevel="0" collapsed="false">
      <c r="G22" s="19" t="s">
        <v>16</v>
      </c>
      <c r="I22" s="14" t="s">
        <v>54</v>
      </c>
      <c r="J22" s="14"/>
      <c r="K22" s="28" t="n">
        <v>-33</v>
      </c>
      <c r="L22" s="28" t="n">
        <v>-27</v>
      </c>
      <c r="M22" s="18" t="n">
        <f aca="false">K22-L22</f>
        <v>-6</v>
      </c>
      <c r="N22" s="0" t="s">
        <v>19</v>
      </c>
    </row>
    <row r="23" customFormat="false" ht="13.8" hidden="false" customHeight="false" outlineLevel="0" collapsed="false">
      <c r="G23" s="19" t="s">
        <v>16</v>
      </c>
      <c r="I23" s="14" t="s">
        <v>55</v>
      </c>
      <c r="J23" s="14"/>
      <c r="K23" s="19" t="n">
        <f aca="false">SUM(K18:K22)</f>
        <v>774</v>
      </c>
      <c r="L23" s="19" t="n">
        <f aca="false">SUM(L18:L22)</f>
        <v>730</v>
      </c>
      <c r="M23" s="15"/>
      <c r="N23" s="19"/>
      <c r="W23" s="19"/>
    </row>
    <row r="24" customFormat="false" ht="13.8" hidden="false" customHeight="false" outlineLevel="0" collapsed="false">
      <c r="W24" s="19"/>
    </row>
    <row r="25" customFormat="false" ht="13.8" hidden="false" customHeight="false" outlineLevel="0" collapsed="false">
      <c r="I25" s="4" t="s">
        <v>56</v>
      </c>
      <c r="J25" s="4"/>
      <c r="K25" s="27" t="n">
        <f aca="false">+K23+K16+K11</f>
        <v>2045</v>
      </c>
      <c r="L25" s="27" t="n">
        <f aca="false">+L23+L16+L11</f>
        <v>1803</v>
      </c>
      <c r="M25" s="19"/>
      <c r="W25" s="19"/>
    </row>
    <row r="27" customFormat="false" ht="13.8" hidden="false" customHeight="false" outlineLevel="0" collapsed="false">
      <c r="K27" s="19" t="s">
        <v>16</v>
      </c>
    </row>
    <row r="28" customFormat="false" ht="13.8" hidden="false" customHeight="false" outlineLevel="0" collapsed="false">
      <c r="H28" s="19" t="s">
        <v>16</v>
      </c>
    </row>
    <row r="29" customFormat="false" ht="13.8" hidden="false" customHeight="false" outlineLevel="0" collapsed="false">
      <c r="D29" s="5" t="s">
        <v>4</v>
      </c>
      <c r="E29" s="5"/>
      <c r="F29" s="5"/>
      <c r="G29" s="5"/>
      <c r="T29" s="5" t="s">
        <v>4</v>
      </c>
    </row>
    <row r="30" customFormat="false" ht="13.8" hidden="false" customHeight="false" outlineLevel="0" collapsed="false">
      <c r="B30" s="14"/>
      <c r="C30" s="14"/>
      <c r="D30" s="5" t="s">
        <v>57</v>
      </c>
      <c r="E30" s="5"/>
      <c r="F30" s="5"/>
      <c r="G30" s="5"/>
      <c r="J30" s="6" t="s">
        <v>58</v>
      </c>
      <c r="Q30" s="0" t="s">
        <v>16</v>
      </c>
      <c r="S30" s="29" t="s">
        <v>59</v>
      </c>
    </row>
    <row r="31" customFormat="false" ht="13.8" hidden="false" customHeight="false" outlineLevel="0" collapsed="false">
      <c r="B31" s="14"/>
      <c r="C31" s="14"/>
      <c r="D31" s="5" t="s">
        <v>60</v>
      </c>
      <c r="E31" s="5"/>
      <c r="F31" s="5"/>
      <c r="G31" s="5"/>
      <c r="J31" s="9" t="s">
        <v>9</v>
      </c>
      <c r="S31" s="14"/>
      <c r="T31" s="5" t="s">
        <v>60</v>
      </c>
    </row>
    <row r="32" customFormat="false" ht="13.8" hidden="false" customHeight="false" outlineLevel="0" collapsed="false">
      <c r="B32" s="14"/>
      <c r="C32" s="14"/>
      <c r="D32" s="5" t="s">
        <v>14</v>
      </c>
      <c r="E32" s="5"/>
      <c r="F32" s="5"/>
      <c r="G32" s="5"/>
      <c r="Q32" s="0" t="s">
        <v>16</v>
      </c>
      <c r="S32" s="14"/>
      <c r="T32" s="5" t="s">
        <v>14</v>
      </c>
    </row>
    <row r="33" customFormat="false" ht="13.8" hidden="false" customHeight="false" outlineLevel="0" collapsed="false">
      <c r="B33" s="14"/>
      <c r="C33" s="14"/>
      <c r="D33" s="20"/>
      <c r="E33" s="20"/>
      <c r="F33" s="20"/>
      <c r="G33" s="20"/>
      <c r="J33" s="30" t="s">
        <v>61</v>
      </c>
      <c r="K33" s="31"/>
      <c r="L33" s="32"/>
      <c r="Q33" s="0" t="s">
        <v>16</v>
      </c>
    </row>
    <row r="34" customFormat="false" ht="13.8" hidden="false" customHeight="false" outlineLevel="0" collapsed="false">
      <c r="B34" s="14" t="s">
        <v>50</v>
      </c>
      <c r="C34" s="14"/>
      <c r="D34" s="20"/>
      <c r="E34" s="20" t="s">
        <v>16</v>
      </c>
      <c r="F34" s="20"/>
      <c r="G34" s="33" t="n">
        <f aca="false">W19</f>
        <v>250.9</v>
      </c>
      <c r="Q34" s="34" t="s">
        <v>62</v>
      </c>
      <c r="R34" s="34"/>
      <c r="S34" s="34"/>
      <c r="T34" s="34"/>
      <c r="U34" s="34" t="s">
        <v>63</v>
      </c>
      <c r="V34" s="34"/>
      <c r="W34" s="34"/>
    </row>
    <row r="35" customFormat="false" ht="13.8" hidden="false" customHeight="false" outlineLevel="0" collapsed="false">
      <c r="B35" s="14" t="s">
        <v>30</v>
      </c>
      <c r="C35" s="14"/>
      <c r="D35" s="20"/>
      <c r="E35" s="20" t="s">
        <v>16</v>
      </c>
      <c r="F35" s="20"/>
      <c r="G35" s="20" t="n">
        <f aca="false">W11</f>
        <v>106</v>
      </c>
      <c r="Q35" s="14"/>
      <c r="R35" s="14"/>
      <c r="S35" s="14"/>
      <c r="T35" s="14"/>
      <c r="U35" s="14"/>
      <c r="V35" s="14"/>
      <c r="W35" s="14"/>
    </row>
    <row r="36" customFormat="false" ht="13.8" hidden="false" customHeight="false" outlineLevel="0" collapsed="false">
      <c r="B36" s="35" t="str">
        <f aca="false">IF(I14&gt;=0,"Increase","Decrease") &amp; " in " &amp; TRIM(I14)</f>
        <v>Increase in Deferred taxes</v>
      </c>
      <c r="C36" s="14"/>
      <c r="D36" s="20"/>
      <c r="E36" s="20"/>
      <c r="F36" s="20"/>
      <c r="G36" s="36" t="n">
        <f aca="false">M14</f>
        <v>14</v>
      </c>
      <c r="J36" s="37" t="s">
        <v>64</v>
      </c>
      <c r="K36" s="38" t="s">
        <v>10</v>
      </c>
      <c r="L36" s="39" t="s">
        <v>65</v>
      </c>
      <c r="Q36" s="14" t="s">
        <v>66</v>
      </c>
      <c r="R36" s="14"/>
      <c r="S36" s="40"/>
      <c r="T36" s="14"/>
      <c r="U36" s="14" t="s">
        <v>67</v>
      </c>
      <c r="V36" s="14"/>
      <c r="W36" s="14"/>
    </row>
    <row r="37" customFormat="false" ht="13.8" hidden="false" customHeight="false" outlineLevel="0" collapsed="false">
      <c r="B37" s="14"/>
      <c r="C37" s="14"/>
      <c r="D37" s="20"/>
      <c r="E37" s="20"/>
      <c r="F37" s="20"/>
      <c r="G37" s="20"/>
      <c r="J37" s="41" t="s">
        <v>68</v>
      </c>
      <c r="K37" s="42" t="s">
        <v>69</v>
      </c>
      <c r="L37" s="43" t="s">
        <v>70</v>
      </c>
      <c r="Q37" s="14" t="s">
        <v>71</v>
      </c>
      <c r="R37" s="14"/>
      <c r="S37" s="36" t="n">
        <f aca="false">W14</f>
        <v>449</v>
      </c>
      <c r="T37" s="14"/>
      <c r="U37" s="14" t="s">
        <v>72</v>
      </c>
      <c r="V37" s="14"/>
      <c r="W37" s="44" t="n">
        <f aca="false">W15</f>
        <v>63</v>
      </c>
      <c r="X37" s="0" t="s">
        <v>16</v>
      </c>
    </row>
    <row r="38" customFormat="false" ht="13.8" hidden="false" customHeight="false" outlineLevel="0" collapsed="false">
      <c r="B38" s="4" t="s">
        <v>73</v>
      </c>
      <c r="C38" s="14"/>
      <c r="D38" s="20" t="s">
        <v>16</v>
      </c>
      <c r="E38" s="20"/>
      <c r="F38" s="20"/>
      <c r="G38" s="20"/>
      <c r="J38" s="45" t="s">
        <v>74</v>
      </c>
      <c r="K38" s="46" t="s">
        <v>70</v>
      </c>
      <c r="L38" s="47" t="s">
        <v>69</v>
      </c>
      <c r="Q38" s="14" t="s">
        <v>75</v>
      </c>
      <c r="R38" s="14"/>
      <c r="S38" s="44" t="n">
        <f aca="false">W11</f>
        <v>106</v>
      </c>
      <c r="T38" s="14"/>
      <c r="U38" s="24" t="s">
        <v>76</v>
      </c>
      <c r="V38" s="14"/>
      <c r="W38" s="48" t="n">
        <f aca="false">M15</f>
        <v>99</v>
      </c>
      <c r="X38" s="0" t="s">
        <v>16</v>
      </c>
    </row>
    <row r="39" customFormat="false" ht="13.8" hidden="false" customHeight="false" outlineLevel="0" collapsed="false">
      <c r="B39" s="35" t="str">
        <f aca="false">IF(I17&lt;0,"Increase","Decrease") &amp; " in " &amp; TRIM(B9)</f>
        <v>Decrease in Accounts receivable</v>
      </c>
      <c r="C39" s="14"/>
      <c r="D39" s="20"/>
      <c r="E39" s="20" t="s">
        <v>16</v>
      </c>
      <c r="F39" s="20"/>
      <c r="G39" s="49" t="n">
        <f aca="false">-G9</f>
        <v>27</v>
      </c>
      <c r="I39" s="20" t="s">
        <v>16</v>
      </c>
      <c r="Q39" s="14" t="s">
        <v>77</v>
      </c>
      <c r="R39" s="14"/>
      <c r="S39" s="48" t="n">
        <f aca="false">W17-M14</f>
        <v>121.1</v>
      </c>
      <c r="T39" s="14"/>
      <c r="U39" s="14" t="s">
        <v>78</v>
      </c>
      <c r="V39" s="14"/>
      <c r="W39" s="44" t="n">
        <f aca="false">W37-W38</f>
        <v>-36</v>
      </c>
    </row>
    <row r="40" customFormat="false" ht="13.8" hidden="false" customHeight="false" outlineLevel="0" collapsed="false">
      <c r="B40" s="35" t="str">
        <f aca="false">IF(I18&gt;=0,"Increase","Decrease") &amp; " in " &amp; TRIM(B10)</f>
        <v>Increase in Inventories</v>
      </c>
      <c r="C40" s="14"/>
      <c r="D40" s="20"/>
      <c r="E40" s="50" t="s">
        <v>16</v>
      </c>
      <c r="F40" s="23"/>
      <c r="G40" s="49" t="n">
        <f aca="false">-G10</f>
        <v>-50</v>
      </c>
      <c r="J40" s="51" t="s">
        <v>79</v>
      </c>
      <c r="K40" s="51"/>
      <c r="L40" s="51"/>
      <c r="Q40" s="14" t="s">
        <v>80</v>
      </c>
      <c r="R40" s="14"/>
      <c r="S40" s="44" t="n">
        <f aca="false">S37+S38-S39</f>
        <v>433.9</v>
      </c>
      <c r="T40" s="14"/>
      <c r="U40" s="14"/>
      <c r="V40" s="14"/>
      <c r="W40" s="14"/>
    </row>
    <row r="41" customFormat="false" ht="13.8" hidden="false" customHeight="false" outlineLevel="0" collapsed="false">
      <c r="B41" s="35" t="str">
        <f aca="false">IF(I19&gt;=0,"Increase","Decrease") &amp; " in " &amp; TRIM(B11) &amp; " Current Assets"</f>
        <v>Increase in Other Current Assets</v>
      </c>
      <c r="C41" s="14"/>
      <c r="D41" s="20"/>
      <c r="E41" s="20" t="s">
        <v>16</v>
      </c>
      <c r="F41" s="20"/>
      <c r="G41" s="49" t="n">
        <f aca="false">-G11</f>
        <v>-2</v>
      </c>
      <c r="Q41" s="14"/>
      <c r="R41" s="14"/>
      <c r="S41" s="14"/>
      <c r="T41" s="14"/>
      <c r="U41" s="14" t="s">
        <v>81</v>
      </c>
      <c r="V41" s="14"/>
      <c r="W41" s="14"/>
    </row>
    <row r="42" customFormat="false" ht="13.8" hidden="false" customHeight="false" outlineLevel="0" collapsed="false">
      <c r="B42" s="35" t="str">
        <f aca="false">IF(I20&gt;=0,"Increase","Decrease") &amp; " in " &amp; TRIM(I8)</f>
        <v>Increase in Accounts payable</v>
      </c>
      <c r="C42" s="14"/>
      <c r="D42" s="20"/>
      <c r="E42" s="20" t="s">
        <v>16</v>
      </c>
      <c r="F42" s="20"/>
      <c r="G42" s="49" t="n">
        <f aca="false">M8</f>
        <v>20</v>
      </c>
      <c r="I42" s="20" t="s">
        <v>16</v>
      </c>
      <c r="Q42" s="24" t="s">
        <v>82</v>
      </c>
      <c r="R42" s="14"/>
      <c r="S42" s="14"/>
      <c r="T42" s="14"/>
      <c r="U42" s="14" t="s">
        <v>83</v>
      </c>
      <c r="V42" s="14"/>
      <c r="W42" s="44" t="n">
        <f aca="false">W19-M21</f>
        <v>230.9</v>
      </c>
      <c r="X42" s="0" t="s">
        <v>16</v>
      </c>
    </row>
    <row r="43" customFormat="false" ht="13.8" hidden="false" customHeight="false" outlineLevel="0" collapsed="false">
      <c r="B43" s="35" t="str">
        <f aca="false">IF(I21&gt;=0,"Increase","Decrease") &amp; " in " &amp; TRIM(I10)</f>
        <v>Increase in Accrued expenses</v>
      </c>
      <c r="C43" s="14"/>
      <c r="D43" s="20"/>
      <c r="E43" s="20" t="s">
        <v>16</v>
      </c>
      <c r="F43" s="20"/>
      <c r="G43" s="49" t="n">
        <f aca="false">M10</f>
        <v>55</v>
      </c>
      <c r="I43" s="20" t="s">
        <v>16</v>
      </c>
      <c r="Q43" s="24" t="s">
        <v>84</v>
      </c>
      <c r="R43" s="14"/>
      <c r="S43" s="44" t="n">
        <f aca="false">E17</f>
        <v>1266</v>
      </c>
      <c r="T43" s="14"/>
      <c r="U43" s="14" t="s">
        <v>85</v>
      </c>
      <c r="V43" s="14"/>
      <c r="W43" s="48" t="n">
        <f aca="false">M19+M20+M22</f>
        <v>24</v>
      </c>
      <c r="X43" s="0" t="s">
        <v>16</v>
      </c>
    </row>
    <row r="44" customFormat="false" ht="13.8" hidden="false" customHeight="false" outlineLevel="0" collapsed="false">
      <c r="B44" s="14" t="s">
        <v>86</v>
      </c>
      <c r="C44" s="14"/>
      <c r="D44" s="20"/>
      <c r="E44" s="23"/>
      <c r="F44" s="23"/>
      <c r="H44" s="52" t="n">
        <f aca="false">SUM(G34:G43)</f>
        <v>420.9</v>
      </c>
      <c r="I44" s="20" t="s">
        <v>16</v>
      </c>
      <c r="Q44" s="24" t="s">
        <v>87</v>
      </c>
      <c r="R44" s="14"/>
      <c r="S44" s="44" t="n">
        <f aca="false">F17</f>
        <v>1104</v>
      </c>
      <c r="T44" s="14"/>
      <c r="U44" s="14" t="s">
        <v>88</v>
      </c>
      <c r="V44" s="14"/>
      <c r="W44" s="44" t="n">
        <f aca="false">W42-W43</f>
        <v>206.9</v>
      </c>
    </row>
    <row r="45" customFormat="false" ht="13.8" hidden="false" customHeight="false" outlineLevel="0" collapsed="false">
      <c r="Q45" s="14" t="s">
        <v>89</v>
      </c>
      <c r="R45" s="14"/>
      <c r="S45" s="48" t="n">
        <f aca="false">W11</f>
        <v>106</v>
      </c>
      <c r="T45" s="14"/>
      <c r="U45" s="14"/>
      <c r="V45" s="14"/>
      <c r="W45" s="14"/>
    </row>
    <row r="46" customFormat="false" ht="13.8" hidden="false" customHeight="false" outlineLevel="0" collapsed="false">
      <c r="B46" s="34" t="s">
        <v>90</v>
      </c>
      <c r="D46" s="20"/>
      <c r="E46" s="20"/>
      <c r="F46" s="20"/>
      <c r="G46" s="20"/>
      <c r="Q46" s="24" t="s">
        <v>91</v>
      </c>
      <c r="R46" s="14"/>
      <c r="S46" s="44" t="n">
        <f aca="false">S43-S44+S45</f>
        <v>268</v>
      </c>
      <c r="T46" s="14" t="s">
        <v>16</v>
      </c>
      <c r="U46" s="14"/>
      <c r="V46" s="14"/>
      <c r="W46" s="14"/>
      <c r="X46" s="0" t="s">
        <v>16</v>
      </c>
    </row>
    <row r="47" customFormat="false" ht="13.8" hidden="false" customHeight="false" outlineLevel="0" collapsed="false">
      <c r="B47" s="35" t="str">
        <f aca="false">IF(I25&gt;=0,"Purchase","Sale") &amp; " of Fixed Assets"</f>
        <v>Purchase of Fixed Assets</v>
      </c>
      <c r="D47" s="20"/>
      <c r="E47" s="20"/>
      <c r="F47" s="20"/>
      <c r="G47" s="53" t="n">
        <f aca="false">-G15</f>
        <v>-268</v>
      </c>
      <c r="Q47" s="14"/>
      <c r="R47" s="14"/>
      <c r="S47" s="14"/>
      <c r="T47" s="14"/>
      <c r="U47" s="14"/>
      <c r="V47" s="14"/>
      <c r="W47" s="14"/>
    </row>
    <row r="48" customFormat="false" ht="13.8" hidden="false" customHeight="false" outlineLevel="0" collapsed="false">
      <c r="B48" s="0" t="s">
        <v>92</v>
      </c>
      <c r="F48" s="14"/>
      <c r="H48" s="52" t="n">
        <f aca="false">SUM(G47)</f>
        <v>-268</v>
      </c>
      <c r="Q48" s="14" t="s">
        <v>93</v>
      </c>
      <c r="R48" s="14"/>
      <c r="S48" s="14"/>
      <c r="T48" s="14"/>
      <c r="U48" s="14"/>
      <c r="V48" s="14"/>
      <c r="W48" s="14"/>
    </row>
    <row r="49" customFormat="false" ht="13.8" hidden="false" customHeight="false" outlineLevel="0" collapsed="false">
      <c r="Q49" s="14" t="s">
        <v>94</v>
      </c>
      <c r="R49" s="14"/>
      <c r="S49" s="54" t="n">
        <f aca="false">R61</f>
        <v>220</v>
      </c>
      <c r="T49" s="14"/>
      <c r="U49" s="14"/>
      <c r="V49" s="14"/>
      <c r="W49" s="14"/>
    </row>
    <row r="50" customFormat="false" ht="13.8" hidden="false" customHeight="false" outlineLevel="0" collapsed="false">
      <c r="B50" s="34" t="s">
        <v>95</v>
      </c>
      <c r="D50" s="20"/>
      <c r="E50" s="23"/>
      <c r="F50" s="23"/>
      <c r="G50" s="20"/>
      <c r="Q50" s="14" t="s">
        <v>96</v>
      </c>
      <c r="R50" s="14"/>
      <c r="S50" s="55" t="n">
        <f aca="false">T61</f>
        <v>225</v>
      </c>
      <c r="T50" s="14"/>
      <c r="U50" s="14"/>
      <c r="V50" s="14"/>
      <c r="W50" s="14"/>
    </row>
    <row r="51" customFormat="false" ht="13.8" hidden="false" customHeight="false" outlineLevel="0" collapsed="false">
      <c r="B51" s="35" t="str">
        <f aca="false">IF(I29&gt;=0,"Increase","Decrease") &amp; " in " &amp; TRIM(I9)</f>
        <v>Increase in Notes payable</v>
      </c>
      <c r="D51" s="20"/>
      <c r="E51" s="20" t="s">
        <v>16</v>
      </c>
      <c r="F51" s="20"/>
      <c r="G51" s="56" t="n">
        <f aca="false">M9</f>
        <v>10</v>
      </c>
      <c r="Q51" s="14" t="s">
        <v>97</v>
      </c>
      <c r="R51" s="14"/>
      <c r="S51" s="54" t="n">
        <f aca="false">S49-S50</f>
        <v>-5</v>
      </c>
      <c r="T51" s="14"/>
      <c r="U51" s="14" t="s">
        <v>98</v>
      </c>
      <c r="V51" s="14"/>
      <c r="W51" s="14"/>
    </row>
    <row r="52" customFormat="false" ht="13.8" hidden="false" customHeight="false" outlineLevel="0" collapsed="false">
      <c r="B52" s="35" t="str">
        <f aca="false">IF(I30&gt;=0,"Proceeds","Pay Down") &amp; " of " &amp; TRIM(I15)</f>
        <v>Proceeds of Long-term debt</v>
      </c>
      <c r="D52" s="20"/>
      <c r="E52" s="20"/>
      <c r="F52" s="20"/>
      <c r="G52" s="56" t="n">
        <f aca="false">M15</f>
        <v>99</v>
      </c>
      <c r="Q52" s="14"/>
      <c r="R52" s="14"/>
      <c r="S52" s="14"/>
      <c r="T52" s="14" t="s">
        <v>16</v>
      </c>
      <c r="U52" s="14" t="s">
        <v>99</v>
      </c>
      <c r="V52" s="14"/>
      <c r="W52" s="20" t="s">
        <v>16</v>
      </c>
    </row>
    <row r="53" customFormat="false" ht="13.8" hidden="false" customHeight="false" outlineLevel="0" collapsed="false">
      <c r="B53" s="0" t="s">
        <v>100</v>
      </c>
      <c r="D53" s="20"/>
      <c r="E53" s="20"/>
      <c r="F53" s="20"/>
      <c r="G53" s="56" t="n">
        <f aca="false">(W19-M21)*-1</f>
        <v>-230.9</v>
      </c>
      <c r="H53" s="19" t="s">
        <v>16</v>
      </c>
      <c r="Q53" s="14" t="s">
        <v>101</v>
      </c>
      <c r="R53" s="14"/>
      <c r="S53" s="14"/>
      <c r="T53" s="14"/>
      <c r="U53" s="14"/>
      <c r="V53" s="14"/>
      <c r="W53" s="14"/>
    </row>
    <row r="54" customFormat="false" ht="13.8" hidden="false" customHeight="false" outlineLevel="0" collapsed="false">
      <c r="B54" s="0" t="s">
        <v>102</v>
      </c>
      <c r="D54" s="20"/>
      <c r="E54" s="20"/>
      <c r="F54" s="20"/>
      <c r="G54" s="57" t="n">
        <f aca="false">M22</f>
        <v>-6</v>
      </c>
      <c r="Q54" s="14"/>
      <c r="R54" s="14"/>
      <c r="S54" s="14"/>
      <c r="T54" s="14"/>
      <c r="U54" s="14"/>
      <c r="V54" s="14"/>
      <c r="W54" s="14"/>
    </row>
    <row r="55" customFormat="false" ht="13.8" hidden="false" customHeight="false" outlineLevel="0" collapsed="false">
      <c r="B55" s="0" t="s">
        <v>103</v>
      </c>
      <c r="D55" s="20"/>
      <c r="E55" s="20"/>
      <c r="F55" s="20"/>
      <c r="G55" s="53" t="n">
        <f aca="false">M19+M20</f>
        <v>30</v>
      </c>
      <c r="Q55" s="24" t="s">
        <v>104</v>
      </c>
      <c r="R55" s="14"/>
      <c r="S55" s="58" t="n">
        <f aca="false">S40-S46-S51</f>
        <v>170.9</v>
      </c>
      <c r="T55" s="14"/>
      <c r="U55" s="24" t="s">
        <v>105</v>
      </c>
      <c r="V55" s="14"/>
      <c r="W55" s="58" t="n">
        <f aca="false">W44+W39</f>
        <v>170.9</v>
      </c>
    </row>
    <row r="56" customFormat="false" ht="13.8" hidden="false" customHeight="false" outlineLevel="0" collapsed="false">
      <c r="B56" s="0" t="s">
        <v>106</v>
      </c>
      <c r="F56" s="14"/>
      <c r="H56" s="52" t="n">
        <f aca="false">SUM(G51:G55)</f>
        <v>-97.9</v>
      </c>
      <c r="Q56" s="14"/>
      <c r="R56" s="14"/>
      <c r="S56" s="14"/>
      <c r="T56" s="20" t="s">
        <v>16</v>
      </c>
      <c r="U56" s="20" t="s">
        <v>16</v>
      </c>
      <c r="V56" s="14"/>
      <c r="W56" s="14"/>
    </row>
    <row r="57" customFormat="false" ht="13.8" hidden="false" customHeight="false" outlineLevel="0" collapsed="false">
      <c r="F57" s="14"/>
      <c r="H57" s="14"/>
    </row>
    <row r="58" customFormat="false" ht="13.8" hidden="false" customHeight="false" outlineLevel="0" collapsed="false">
      <c r="B58" s="59" t="s">
        <v>107</v>
      </c>
      <c r="C58" s="59"/>
      <c r="D58" s="59"/>
      <c r="E58" s="59"/>
      <c r="F58" s="59"/>
      <c r="G58" s="60"/>
      <c r="H58" s="61" t="n">
        <f aca="false">H44+H48+H56</f>
        <v>55</v>
      </c>
      <c r="Q58" s="62" t="s">
        <v>108</v>
      </c>
      <c r="R58" s="62"/>
      <c r="S58" s="62" t="s">
        <v>109</v>
      </c>
      <c r="T58" s="62"/>
    </row>
    <row r="59" customFormat="false" ht="13.8" hidden="false" customHeight="false" outlineLevel="0" collapsed="false">
      <c r="Q59" s="63" t="s">
        <v>110</v>
      </c>
      <c r="R59" s="64" t="n">
        <f aca="false">E12</f>
        <v>779</v>
      </c>
      <c r="S59" s="65" t="s">
        <v>110</v>
      </c>
      <c r="T59" s="64" t="n">
        <f aca="false">F12</f>
        <v>699</v>
      </c>
    </row>
    <row r="60" customFormat="false" ht="13.8" hidden="false" customHeight="false" outlineLevel="0" collapsed="false">
      <c r="B60" s="60" t="s">
        <v>111</v>
      </c>
      <c r="C60" s="60"/>
      <c r="D60" s="60"/>
      <c r="E60" s="60"/>
      <c r="F60" s="65"/>
      <c r="G60" s="65"/>
      <c r="H60" s="66" t="str">
        <f aca="false">IF(H58=G8, "Yes", "No")</f>
        <v>Yes</v>
      </c>
      <c r="Q60" s="63" t="s">
        <v>112</v>
      </c>
      <c r="R60" s="35" t="n">
        <f aca="false">K11</f>
        <v>559</v>
      </c>
      <c r="S60" s="65" t="s">
        <v>112</v>
      </c>
      <c r="T60" s="35" t="n">
        <f aca="false">L11</f>
        <v>474</v>
      </c>
    </row>
    <row r="61" customFormat="false" ht="13.8" hidden="false" customHeight="false" outlineLevel="0" collapsed="false">
      <c r="Q61" s="67" t="s">
        <v>113</v>
      </c>
      <c r="R61" s="64" t="n">
        <f aca="false">R59-R60</f>
        <v>220</v>
      </c>
      <c r="S61" s="68" t="s">
        <v>113</v>
      </c>
      <c r="T61" s="64" t="n">
        <f aca="false">T59-T60</f>
        <v>225</v>
      </c>
    </row>
    <row r="62" customFormat="false" ht="13.8" hidden="false" customHeight="false" outlineLevel="0" collapsed="false">
      <c r="F62" s="14"/>
      <c r="G62" s="14"/>
    </row>
  </sheetData>
  <mergeCells count="4">
    <mergeCell ref="B5:F5"/>
    <mergeCell ref="I5:L5"/>
    <mergeCell ref="Q58:R58"/>
    <mergeCell ref="S58:T5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D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6" activeCellId="0" sqref="D6"/>
    </sheetView>
  </sheetViews>
  <sheetFormatPr defaultColWidth="11.58984375" defaultRowHeight="13.8" zeroHeight="false" outlineLevelRow="0" outlineLevelCol="0"/>
  <cols>
    <col collapsed="false" customWidth="true" hidden="false" outlineLevel="0" max="1" min="1" style="0" width="26.85"/>
    <col collapsed="false" customWidth="true" hidden="false" outlineLevel="0" max="2" min="2" style="0" width="25.57"/>
    <col collapsed="false" customWidth="true" hidden="false" outlineLevel="0" max="3" min="3" style="0" width="26"/>
    <col collapsed="false" customWidth="true" hidden="false" outlineLevel="0" max="4" min="4" style="0" width="25.4"/>
    <col collapsed="false" customWidth="true" hidden="false" outlineLevel="0" max="64" min="5" style="0" width="8.67"/>
  </cols>
  <sheetData>
    <row r="1" customFormat="false" ht="13.8" hidden="false" customHeight="false" outlineLevel="0" collapsed="false">
      <c r="A1" s="0" t="s">
        <v>114</v>
      </c>
      <c r="B1" s="0" t="s">
        <v>115</v>
      </c>
      <c r="C1" s="0" t="s">
        <v>116</v>
      </c>
      <c r="D1" s="0" t="s">
        <v>117</v>
      </c>
    </row>
    <row r="2" customFormat="false" ht="13.8" hidden="false" customHeight="false" outlineLevel="0" collapsed="false">
      <c r="A2" s="69" t="n">
        <v>43329</v>
      </c>
      <c r="B2" s="70" t="n">
        <v>0.646724537037037</v>
      </c>
      <c r="C2" s="0" t="s">
        <v>118</v>
      </c>
      <c r="D2" s="0" t="s">
        <v>119</v>
      </c>
    </row>
    <row r="3" customFormat="false" ht="13.8" hidden="false" customHeight="false" outlineLevel="0" collapsed="false">
      <c r="A3" s="69" t="n">
        <v>43966</v>
      </c>
      <c r="B3" s="70" t="n">
        <v>0.645659722222222</v>
      </c>
      <c r="C3" s="0" t="s">
        <v>118</v>
      </c>
      <c r="D3" s="0" t="s">
        <v>119</v>
      </c>
    </row>
    <row r="4" customFormat="false" ht="13.8" hidden="false" customHeight="false" outlineLevel="0" collapsed="false">
      <c r="A4" s="69"/>
      <c r="B4" s="70"/>
    </row>
    <row r="5" customFormat="false" ht="13.8" hidden="false" customHeight="false" outlineLevel="0" collapsed="false">
      <c r="A5" s="69"/>
      <c r="B5" s="70"/>
    </row>
    <row r="6" customFormat="false" ht="13.8" hidden="false" customHeight="false" outlineLevel="0" collapsed="false">
      <c r="A6" s="69"/>
      <c r="B6" s="70"/>
    </row>
    <row r="7" customFormat="false" ht="13.8" hidden="false" customHeight="false" outlineLevel="0" collapsed="false">
      <c r="A7" s="69"/>
      <c r="B7" s="70"/>
    </row>
    <row r="8" customFormat="false" ht="13.8" hidden="false" customHeight="false" outlineLevel="0" collapsed="false">
      <c r="A8" s="69"/>
      <c r="B8" s="70"/>
    </row>
    <row r="9" customFormat="false" ht="13.8" hidden="false" customHeight="false" outlineLevel="0" collapsed="false">
      <c r="A9" s="69"/>
      <c r="B9" s="70"/>
    </row>
    <row r="10" customFormat="false" ht="13.8" hidden="false" customHeight="false" outlineLevel="0" collapsed="false">
      <c r="A10" s="69"/>
      <c r="B10" s="70"/>
    </row>
    <row r="11" customFormat="false" ht="13.8" hidden="false" customHeight="false" outlineLevel="0" collapsed="false">
      <c r="A11" s="69"/>
      <c r="B11" s="7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23</TotalTime>
  <Application>LibreOffice/6.4.3.2$Linux_X86_64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2018-07-30T15:58:40Z</dcterms:created>
  <dc:creator>Pete DaDalt</dc:creator>
  <dc:description/>
  <dc:language>en-US</dc:language>
  <cp:lastModifiedBy/>
  <dcterms:modified xsi:type="dcterms:W3CDTF">2020-05-23T07:52:52Z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