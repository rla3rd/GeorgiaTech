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9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drawings/_rels/drawing3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0"/>
  </bookViews>
  <sheets>
    <sheet name="Information" sheetId="1" state="visible" r:id="rId2"/>
    <sheet name="Price the bond basics" sheetId="2" state="visible" r:id="rId3"/>
    <sheet name="Variable timeline" sheetId="3" state="visible" r:id="rId4"/>
    <sheet name="Par_premium_discount" sheetId="4" state="visible" r:id="rId5"/>
    <sheet name="Finding_YTM" sheetId="5" state="visible" r:id="rId6"/>
    <sheet name="Duration Formula" sheetId="6" state="visible" r:id="rId7"/>
    <sheet name="Convexity formula" sheetId="7" state="visible" r:id="rId8"/>
    <sheet name="Duration_Convexity" sheetId="8" state="visible" r:id="rId9"/>
    <sheet name="Graph_Duration_Convexity" sheetId="9" state="visible" r:id="rId10"/>
    <sheet name="Immunize Part 1" sheetId="10" state="visible" r:id="rId11"/>
    <sheet name="Immunize Part 2" sheetId="11" state="visible" r:id="rId12"/>
  </sheets>
  <externalReferences>
    <externalReference r:id="rId13"/>
  </externalReferences>
  <definedNames>
    <definedName function="false" hidden="false" name="Yield_Change" vbProcedure="false">'[1]Periodic Duration'!$F$1</definedName>
    <definedName function="false" hidden="false" localSheetId="10" name="solver_adj" vbProcedure="false">'Immunize Part 2'!$I$7:$I$11</definedName>
    <definedName function="false" hidden="false" localSheetId="10" name="solver_cvg" vbProcedure="false">0.0001</definedName>
    <definedName function="false" hidden="false" localSheetId="10" name="solver_drv" vbProcedure="false">2</definedName>
    <definedName function="false" hidden="false" localSheetId="10" name="solver_eng" vbProcedure="false">1</definedName>
    <definedName function="false" hidden="false" localSheetId="10" name="solver_est" vbProcedure="false">1</definedName>
    <definedName function="false" hidden="false" localSheetId="10" name="solver_itr" vbProcedure="false">2147483647</definedName>
    <definedName function="false" hidden="false" localSheetId="10" name="solver_lhs1" vbProcedure="false">'Immunize Part 2'!$I$13</definedName>
    <definedName function="false" hidden="false" localSheetId="10" name="solver_lhs2" vbProcedure="false">'Immunize Part 2'!$I$14</definedName>
    <definedName function="false" hidden="false" localSheetId="10" name="solver_mip" vbProcedure="false">2147483647</definedName>
    <definedName function="false" hidden="false" localSheetId="10" name="solver_mni" vbProcedure="false">30</definedName>
    <definedName function="false" hidden="false" localSheetId="10" name="solver_mrt" vbProcedure="false">0.075</definedName>
    <definedName function="false" hidden="false" localSheetId="10" name="solver_msl" vbProcedure="false">2</definedName>
    <definedName function="false" hidden="false" localSheetId="10" name="solver_neg" vbProcedure="false">1</definedName>
    <definedName function="false" hidden="false" localSheetId="10" name="solver_nod" vbProcedure="false">2147483647</definedName>
    <definedName function="false" hidden="false" localSheetId="10" name="solver_num" vbProcedure="false">1</definedName>
    <definedName function="false" hidden="false" localSheetId="10" name="solver_nwt" vbProcedure="false">1</definedName>
    <definedName function="false" hidden="false" localSheetId="10" name="solver_opt" vbProcedure="false">'Immunize Part 2'!$H$13</definedName>
    <definedName function="false" hidden="false" localSheetId="10" name="solver_pre" vbProcedure="false">0.000001</definedName>
    <definedName function="false" hidden="false" localSheetId="10" name="solver_rbv" vbProcedure="false">2</definedName>
    <definedName function="false" hidden="false" localSheetId="10" name="solver_rel1" vbProcedure="false">2</definedName>
    <definedName function="false" hidden="false" localSheetId="10" name="solver_rel2" vbProcedure="false">2</definedName>
    <definedName function="false" hidden="false" localSheetId="10" name="solver_rhs1" vbProcedure="false">1</definedName>
    <definedName function="false" hidden="false" localSheetId="10" name="solver_rhs2" vbProcedure="false">1</definedName>
    <definedName function="false" hidden="false" localSheetId="10" name="solver_rlx" vbProcedure="false">2</definedName>
    <definedName function="false" hidden="false" localSheetId="10" name="solver_rsd" vbProcedure="false">0</definedName>
    <definedName function="false" hidden="false" localSheetId="10" name="solver_scl" vbProcedure="false">2</definedName>
    <definedName function="false" hidden="false" localSheetId="10" name="solver_sho" vbProcedure="false">2</definedName>
    <definedName function="false" hidden="false" localSheetId="10" name="solver_ssz" vbProcedure="false">100</definedName>
    <definedName function="false" hidden="false" localSheetId="10" name="solver_tim" vbProcedure="false">2147483647</definedName>
    <definedName function="false" hidden="false" localSheetId="10" name="solver_tol" vbProcedure="false">0.01</definedName>
    <definedName function="false" hidden="false" localSheetId="10" name="solver_typ" vbProcedure="false">3</definedName>
    <definedName function="false" hidden="false" localSheetId="10" name="solver_val" vbProcedure="false">8.95718245</definedName>
    <definedName function="false" hidden="false" localSheetId="10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<sst xmlns="http://schemas.openxmlformats.org/spreadsheetml/2006/main" count="294" uniqueCount="137">
  <si>
    <t xml:space="preserve">Name:</t>
  </si>
  <si>
    <t xml:space="preserve">albright</t>
  </si>
  <si>
    <t xml:space="preserve">GTID:</t>
  </si>
  <si>
    <t xml:space="preserve">Bond pricing</t>
  </si>
  <si>
    <t xml:space="preserve">PV/ price of a bond = PV of N-period annuity + PV of a lump sum at N</t>
  </si>
  <si>
    <t xml:space="preserve">Inputs</t>
  </si>
  <si>
    <t xml:space="preserve"> </t>
  </si>
  <si>
    <r>
      <rPr>
        <sz val="11"/>
        <color rgb="FF000000"/>
        <rFont val="Calibri"/>
        <family val="2"/>
        <charset val="1"/>
      </rPr>
      <t xml:space="preserve">PV annuity = (Coupon/2)/(1+i)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(Coupon/2)/(1+i)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…….(Coupon/2)/(1+i)</t>
    </r>
    <r>
      <rPr>
        <vertAlign val="superscript"/>
        <sz val="11"/>
        <color rgb="FF000000"/>
        <rFont val="Calibri"/>
        <family val="2"/>
        <charset val="1"/>
      </rPr>
      <t xml:space="preserve">T</t>
    </r>
  </si>
  <si>
    <t xml:space="preserve">Par</t>
  </si>
  <si>
    <r>
      <rPr>
        <sz val="11"/>
        <color rgb="FF000000"/>
        <rFont val="Calibri"/>
        <family val="2"/>
        <charset val="1"/>
      </rPr>
      <t xml:space="preserve">PV lump sum =  PAR/(1+i)</t>
    </r>
    <r>
      <rPr>
        <vertAlign val="superscript"/>
        <sz val="11"/>
        <color rgb="FF000000"/>
        <rFont val="Calibri"/>
        <family val="2"/>
        <charset val="1"/>
      </rPr>
      <t xml:space="preserve">T</t>
    </r>
  </si>
  <si>
    <t xml:space="preserve">Coupon rate</t>
  </si>
  <si>
    <r>
      <rPr>
        <sz val="11"/>
        <color rgb="FF000000"/>
        <rFont val="Calibri"/>
        <family val="2"/>
        <charset val="1"/>
      </rPr>
      <t xml:space="preserve">PV/price of bond = (Coupon/2)/(1+i)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(Coupon/2)/(1+i)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…….(Coupon/2)/(1+i)</t>
    </r>
    <r>
      <rPr>
        <vertAlign val="superscript"/>
        <sz val="11"/>
        <color rgb="FF000000"/>
        <rFont val="Calibri"/>
        <family val="2"/>
        <charset val="1"/>
      </rPr>
      <t xml:space="preserve">T</t>
    </r>
    <r>
      <rPr>
        <sz val="11"/>
        <color rgb="FF000000"/>
        <rFont val="Calibri"/>
        <family val="2"/>
        <charset val="1"/>
      </rPr>
      <t xml:space="preserve"> + PAR/(1+i)</t>
    </r>
    <r>
      <rPr>
        <vertAlign val="superscript"/>
        <sz val="11"/>
        <color rgb="FF000000"/>
        <rFont val="Calibri"/>
        <family val="2"/>
        <charset val="1"/>
      </rPr>
      <t xml:space="preserve">T</t>
    </r>
  </si>
  <si>
    <t xml:space="preserve">YTM</t>
  </si>
  <si>
    <t xml:space="preserve">required/expected return</t>
  </si>
  <si>
    <t xml:space="preserve">Term (years)</t>
  </si>
  <si>
    <t xml:space="preserve">Assume semi-annual bond payments</t>
  </si>
  <si>
    <t xml:space="preserve">Build a timeline, the CFs and the PV of each CF</t>
  </si>
  <si>
    <t xml:space="preserve">Timeline</t>
  </si>
  <si>
    <t xml:space="preserve">CF (coupon)</t>
  </si>
  <si>
    <t xml:space="preserve">PV PMTs only</t>
  </si>
  <si>
    <t xml:space="preserve">PV Par only</t>
  </si>
  <si>
    <t xml:space="preserve">Total value of bond</t>
  </si>
  <si>
    <t xml:space="preserve">PV function</t>
  </si>
  <si>
    <t xml:space="preserve">(1) Annuity only</t>
  </si>
  <si>
    <t xml:space="preserve">(2)      Lump Sum piece</t>
  </si>
  <si>
    <t xml:space="preserve">(3)      Total value</t>
  </si>
  <si>
    <t xml:space="preserve">Total of (1) + (2) =</t>
  </si>
  <si>
    <t xml:space="preserve">Timeline Method</t>
  </si>
  <si>
    <t xml:space="preserve">CFs</t>
  </si>
  <si>
    <t xml:space="preserve">PV of CF</t>
  </si>
  <si>
    <t xml:space="preserve">Total PV (Bond Price)</t>
  </si>
  <si>
    <t xml:space="preserve">Total value</t>
  </si>
  <si>
    <t xml:space="preserve">check</t>
  </si>
  <si>
    <t xml:space="preserve">Three categories of bond prices: </t>
  </si>
  <si>
    <t xml:space="preserve">1) Bond is priced at par:                       Price = $1,000</t>
  </si>
  <si>
    <t xml:space="preserve">2) Bond is priced above par:              Price &gt; $1,000</t>
  </si>
  <si>
    <t xml:space="preserve">3) Bond is priced below par:              Price &lt; $1,000</t>
  </si>
  <si>
    <t xml:space="preserve">Conditions under which these prices occur: </t>
  </si>
  <si>
    <t xml:space="preserve">Coupon rate = YTM</t>
  </si>
  <si>
    <r>
      <rPr>
        <sz val="11"/>
        <color rgb="FF000000"/>
        <rFont val="Calibri"/>
        <family val="2"/>
        <charset val="1"/>
      </rPr>
      <t xml:space="preserve">$1,000.00 = ($50/2)/(1.025)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($50/2)/(1.025)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…….($50/2)/(1.025)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+ $1,000/(1.025)</t>
    </r>
    <r>
      <rPr>
        <vertAlign val="superscript"/>
        <sz val="11"/>
        <color rgb="FF000000"/>
        <rFont val="Calibri"/>
        <family val="2"/>
        <charset val="1"/>
      </rPr>
      <t xml:space="preserve">10</t>
    </r>
  </si>
  <si>
    <t xml:space="preserve">2) Bond is priced &gt; par:                       Price &gt; $1,000</t>
  </si>
  <si>
    <t xml:space="preserve">Looking at the bond equation above in row 9, in order for the price to be above 1,000, denominator must be smaller</t>
  </si>
  <si>
    <t xml:space="preserve">Coupon rate &gt; YTM or also we can say YTM &lt; Coupon</t>
  </si>
  <si>
    <r>
      <rPr>
        <sz val="11"/>
        <color rgb="FF000000"/>
        <rFont val="Calibri"/>
        <family val="2"/>
        <charset val="1"/>
      </rPr>
      <t xml:space="preserve">$&gt;1000 = ($50/2)/(1+i)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($50/2)/(1+i)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…….($50/2)/(1+i)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+ $1,000/(1+i)</t>
    </r>
    <r>
      <rPr>
        <vertAlign val="superscript"/>
        <sz val="11"/>
        <color rgb="FF000000"/>
        <rFont val="Calibri"/>
        <family val="2"/>
        <charset val="1"/>
      </rPr>
      <t xml:space="preserve">10</t>
    </r>
  </si>
  <si>
    <t xml:space="preserve">When YTM fell, </t>
  </si>
  <si>
    <t xml:space="preserve">YTMS increase, Price falls</t>
  </si>
  <si>
    <r>
      <rPr>
        <sz val="11"/>
        <color rgb="FF000000"/>
        <rFont val="Calibri"/>
        <family val="2"/>
        <charset val="1"/>
      </rPr>
      <t xml:space="preserve">$1044.91= ($25)/(1.02)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($25)/(1.02)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…….($25)/(1.02)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+ $1,000/(1.02)</t>
    </r>
    <r>
      <rPr>
        <vertAlign val="superscript"/>
        <sz val="11"/>
        <color rgb="FF000000"/>
        <rFont val="Calibri"/>
        <family val="2"/>
        <charset val="1"/>
      </rPr>
      <t xml:space="preserve">10</t>
    </r>
  </si>
  <si>
    <t xml:space="preserve">Price increased</t>
  </si>
  <si>
    <t xml:space="preserve">YTMs decrease,Price increases</t>
  </si>
  <si>
    <t xml:space="preserve">3) Bond is priced &lt; par:                       Price &lt; $1,000</t>
  </si>
  <si>
    <t xml:space="preserve">Looking at the bond equation above in row 9, in order for the price to be below $1,000, denominator must be larger</t>
  </si>
  <si>
    <t xml:space="preserve">Relation:  INVERSE relation between yields </t>
  </si>
  <si>
    <t xml:space="preserve">Coupon rate &lt; YTM or also we can say YTM &gt; Coupon</t>
  </si>
  <si>
    <t xml:space="preserve">and prices</t>
  </si>
  <si>
    <r>
      <rPr>
        <sz val="11"/>
        <color rgb="FF000000"/>
        <rFont val="Calibri"/>
        <family val="2"/>
        <charset val="1"/>
      </rPr>
      <t xml:space="preserve">$&lt;1000 = ($50/2)/(1+i)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($50/2)/(1+i)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…….($50/2)/(1+i)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+ $1,000/(1+i)</t>
    </r>
    <r>
      <rPr>
        <vertAlign val="superscript"/>
        <sz val="11"/>
        <color rgb="FF000000"/>
        <rFont val="Calibri"/>
        <family val="2"/>
        <charset val="1"/>
      </rPr>
      <t xml:space="preserve">10</t>
    </r>
  </si>
  <si>
    <t xml:space="preserve">When YTM increases</t>
  </si>
  <si>
    <r>
      <rPr>
        <sz val="11"/>
        <color rgb="FF000000"/>
        <rFont val="Calibri"/>
        <family val="2"/>
        <charset val="1"/>
      </rPr>
      <t xml:space="preserve">$957.35= ($25)/(1.03)</t>
    </r>
    <r>
      <rPr>
        <vertAlign val="superscript"/>
        <sz val="11"/>
        <color rgb="FF000000"/>
        <rFont val="Calibri"/>
        <family val="2"/>
        <charset val="1"/>
      </rPr>
      <t xml:space="preserve">1</t>
    </r>
    <r>
      <rPr>
        <sz val="11"/>
        <color rgb="FF000000"/>
        <rFont val="Calibri"/>
        <family val="2"/>
        <charset val="1"/>
      </rPr>
      <t xml:space="preserve"> + ($25)/(1.03)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 + …….($25)/(1.03)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+ $1,000/(1.03)</t>
    </r>
    <r>
      <rPr>
        <vertAlign val="superscript"/>
        <sz val="11"/>
        <color rgb="FF000000"/>
        <rFont val="Calibri"/>
        <family val="2"/>
        <charset val="1"/>
      </rPr>
      <t xml:space="preserve">10</t>
    </r>
  </si>
  <si>
    <t xml:space="preserve">Price falls</t>
  </si>
  <si>
    <t xml:space="preserve">where "i" = 1/2 of the YTM</t>
  </si>
  <si>
    <t xml:space="preserve">Bond price</t>
  </si>
  <si>
    <t xml:space="preserve">Rate function:  to find "I"</t>
  </si>
  <si>
    <t xml:space="preserve">Check to see if it seems right</t>
  </si>
  <si>
    <t xml:space="preserve">Finding 1/2 YTM:</t>
  </si>
  <si>
    <t xml:space="preserve">Price:</t>
  </si>
  <si>
    <t xml:space="preserve">YTM:</t>
  </si>
  <si>
    <t xml:space="preserve">Bond Price</t>
  </si>
  <si>
    <t xml:space="preserve">If Yield Changes By</t>
  </si>
  <si>
    <t xml:space="preserve">Face Value</t>
  </si>
  <si>
    <t xml:space="preserve">Coupon Rate</t>
  </si>
  <si>
    <t xml:space="preserve">Life in Years</t>
  </si>
  <si>
    <t xml:space="preserve">Modified Duration Predicts</t>
  </si>
  <si>
    <t xml:space="preserve">Price change predicted by duration = -D x Original price x Change in rate</t>
  </si>
  <si>
    <t xml:space="preserve">Yield</t>
  </si>
  <si>
    <t xml:space="preserve">Convexity Adjustment</t>
  </si>
  <si>
    <r>
      <rPr>
        <sz val="11"/>
        <color rgb="FFFFFFFF"/>
        <rFont val="Calibri"/>
        <family val="2"/>
        <charset val="1"/>
      </rPr>
      <t xml:space="preserve">Price change predicted by convexity = 0.5 x Convexity x Original price x (Change in rate)</t>
    </r>
    <r>
      <rPr>
        <vertAlign val="superscript"/>
        <sz val="11"/>
        <color rgb="FFFFFFFF"/>
        <rFont val="Calibri"/>
        <family val="2"/>
        <charset val="1"/>
      </rPr>
      <t xml:space="preserve">2</t>
    </r>
  </si>
  <si>
    <t xml:space="preserve">Frequency</t>
  </si>
  <si>
    <t xml:space="preserve">Total Predicted Change</t>
  </si>
  <si>
    <t xml:space="preserve">Check:  </t>
  </si>
  <si>
    <t xml:space="preserve">Actual changed</t>
  </si>
  <si>
    <t xml:space="preserve">Macaulay Duration</t>
  </si>
  <si>
    <t xml:space="preserve">Actual New Price</t>
  </si>
  <si>
    <t xml:space="preserve">Difference</t>
  </si>
  <si>
    <t xml:space="preserve">Modified Duration</t>
  </si>
  <si>
    <t xml:space="preserve">Predicted New Price</t>
  </si>
  <si>
    <t xml:space="preserve">Convexity</t>
  </si>
  <si>
    <t xml:space="preserve">Here, Macaulay duration is effectively "Annual D" ---that is the NUMBER OF YEARS</t>
  </si>
  <si>
    <t xml:space="preserve">MD is 4.80 divided by 1 plus the periodic rate = 4.80/1.04</t>
  </si>
  <si>
    <t xml:space="preserve">Convexity is the "annual Convexity" In Cell I33</t>
  </si>
  <si>
    <t xml:space="preserve">5 x 8 / 7</t>
  </si>
  <si>
    <t xml:space="preserve">Year</t>
  </si>
  <si>
    <t xml:space="preserve">t</t>
  </si>
  <si>
    <t xml:space="preserve">C</t>
  </si>
  <si>
    <t xml:space="preserve">(I+i)^t</t>
  </si>
  <si>
    <t xml:space="preserve">C/(1+i)^t</t>
  </si>
  <si>
    <t xml:space="preserve">Time wtd PV</t>
  </si>
  <si>
    <t xml:space="preserve">(1+i)^2</t>
  </si>
  <si>
    <t xml:space="preserve">t+t2</t>
  </si>
  <si>
    <t xml:space="preserve">Price bond</t>
  </si>
  <si>
    <t xml:space="preserve">C numerator</t>
  </si>
  <si>
    <t xml:space="preserve">Num/Den</t>
  </si>
  <si>
    <t xml:space="preserve">HALF YEARS</t>
  </si>
  <si>
    <t xml:space="preserve">Ann D = </t>
  </si>
  <si>
    <t xml:space="preserve">YEARS</t>
  </si>
  <si>
    <t xml:space="preserve">C/4</t>
  </si>
  <si>
    <t xml:space="preserve">CD Price (original)</t>
  </si>
  <si>
    <t xml:space="preserve">CD Price (new)</t>
  </si>
  <si>
    <t xml:space="preserve">`</t>
  </si>
  <si>
    <t xml:space="preserve">Yield (original)</t>
  </si>
  <si>
    <t xml:space="preserve">Macaulay Duration (original)</t>
  </si>
  <si>
    <t xml:space="preserve">Macaulay Duration (new)</t>
  </si>
  <si>
    <t xml:space="preserve">MD is Macaulay duration divided by 1 + periodic yield (which is annual here)</t>
  </si>
  <si>
    <t xml:space="preserve">Convexity is the "annual Convexity" In Cell I36</t>
  </si>
  <si>
    <t xml:space="preserve">Original Duration</t>
  </si>
  <si>
    <t xml:space="preserve">Price CD</t>
  </si>
  <si>
    <t xml:space="preserve">Duration with specified interest rate change</t>
  </si>
  <si>
    <t xml:space="preserve">Liability to hedge</t>
  </si>
  <si>
    <t xml:space="preserve">Duration of liability</t>
  </si>
  <si>
    <t xml:space="preserve">Bond portfolio</t>
  </si>
  <si>
    <t xml:space="preserve">Dates</t>
  </si>
  <si>
    <t xml:space="preserve">Bond #</t>
  </si>
  <si>
    <t xml:space="preserve">Settlement date</t>
  </si>
  <si>
    <t xml:space="preserve">Maturity date</t>
  </si>
  <si>
    <t xml:space="preserve">Coupon</t>
  </si>
  <si>
    <t xml:space="preserve">Price (%)</t>
  </si>
  <si>
    <t xml:space="preserve">Duration</t>
  </si>
  <si>
    <t xml:space="preserve">Weights</t>
  </si>
  <si>
    <t xml:space="preserve">Initial investment</t>
  </si>
  <si>
    <t xml:space="preserve">PAR VALUE</t>
  </si>
  <si>
    <t xml:space="preserve">Portfolio duration</t>
  </si>
  <si>
    <t xml:space="preserve">Total investment</t>
  </si>
  <si>
    <t xml:space="preserve">Yield Change</t>
  </si>
  <si>
    <t xml:space="preserve">Change on previous tab too</t>
  </si>
  <si>
    <t xml:space="preserve">New value of investment</t>
  </si>
  <si>
    <t xml:space="preserve">Original par value</t>
  </si>
  <si>
    <t xml:space="preserve">Liability to hedge (prior tab)</t>
  </si>
  <si>
    <t xml:space="preserve">Variance</t>
  </si>
  <si>
    <t xml:space="preserve">Variance % liability</t>
  </si>
</sst>
</file>

<file path=xl/styles.xml><?xml version="1.0" encoding="utf-8"?>
<styleSheet xmlns="http://schemas.openxmlformats.org/spreadsheetml/2006/main">
  <numFmts count="25">
    <numFmt numFmtId="164" formatCode="General"/>
    <numFmt numFmtId="165" formatCode="0"/>
    <numFmt numFmtId="166" formatCode="_(\$* #,##0.00_);_(\$* \(#,##0.00\);_(\$* \-??_);_(@_)"/>
    <numFmt numFmtId="167" formatCode="[$$-409]#,##0.00;[RED]\-[$$-409]#,##0.00"/>
    <numFmt numFmtId="168" formatCode="\$#,##0.00_);[RED]&quot;($&quot;#,##0.00\)"/>
    <numFmt numFmtId="169" formatCode="General"/>
    <numFmt numFmtId="170" formatCode="\$#,##0.000_);[RED]&quot;($&quot;#,##0.000\)"/>
    <numFmt numFmtId="171" formatCode="_(\$* #,##0.0000_);_(\$* \(#,##0.0000\);_(\$* \-??_);_(@_)"/>
    <numFmt numFmtId="172" formatCode="0.00%"/>
    <numFmt numFmtId="173" formatCode="0%"/>
    <numFmt numFmtId="174" formatCode="_(* #,##0.00_);_(* \(#,##0.00\);_(* \-??_);_(@_)"/>
    <numFmt numFmtId="175" formatCode="_(* #,##0_);_(* \(#,##0\);_(* \-??_);_(@_)"/>
    <numFmt numFmtId="176" formatCode="#,##0.00"/>
    <numFmt numFmtId="177" formatCode="0.000%"/>
    <numFmt numFmtId="178" formatCode="0.00"/>
    <numFmt numFmtId="179" formatCode="0.0000"/>
    <numFmt numFmtId="180" formatCode="_(* #,##0.0000_);_(* \(#,##0.0000\);_(* \-??_);_(@_)"/>
    <numFmt numFmtId="181" formatCode="0.000"/>
    <numFmt numFmtId="182" formatCode="0.00000000"/>
    <numFmt numFmtId="183" formatCode="m/d/yyyy"/>
    <numFmt numFmtId="184" formatCode="_(\$* #,##0.00_);_(\$* \(#,##0.00\);_(\$* \-??_);_(@_)"/>
    <numFmt numFmtId="185" formatCode="0.0000%"/>
    <numFmt numFmtId="186" formatCode="#,##0.00_);\(#,##0.00\)"/>
    <numFmt numFmtId="187" formatCode="\$#,##0.00"/>
    <numFmt numFmtId="188" formatCode="0.000000%"/>
  </numFmts>
  <fonts count="3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b val="true"/>
      <sz val="11"/>
      <color rgb="FF4472C4"/>
      <name val="Calibri"/>
      <family val="2"/>
      <charset val="1"/>
    </font>
    <font>
      <sz val="11"/>
      <color rgb="FFFF0000"/>
      <name val="Calibri"/>
      <family val="2"/>
      <charset val="1"/>
    </font>
    <font>
      <sz val="12"/>
      <color rgb="FF000000"/>
      <name val="Times New Roman"/>
      <family val="0"/>
    </font>
    <font>
      <sz val="44"/>
      <color rgb="FF000000"/>
      <name val="Calibri"/>
      <family val="0"/>
    </font>
    <font>
      <sz val="44"/>
      <color rgb="FF000000"/>
      <name val="Cambria Math"/>
      <family val="0"/>
    </font>
    <font>
      <vertAlign val="superscript"/>
      <sz val="44"/>
      <color rgb="FF000000"/>
      <name val="Cambria Math"/>
      <family val="0"/>
    </font>
    <font>
      <vertAlign val="subscript"/>
      <sz val="44"/>
      <color rgb="FF000000"/>
      <name val="Cambria Math"/>
      <family val="0"/>
    </font>
    <font>
      <sz val="32"/>
      <color rgb="FF000000"/>
      <name val="Calibri"/>
      <family val="0"/>
    </font>
    <font>
      <sz val="32"/>
      <color rgb="FF000000"/>
      <name val="Cambria Math"/>
      <family val="0"/>
    </font>
    <font>
      <vertAlign val="superscript"/>
      <sz val="32"/>
      <color rgb="FF000000"/>
      <name val="Cambria Math"/>
      <family val="0"/>
    </font>
    <font>
      <vertAlign val="subscript"/>
      <sz val="32"/>
      <color rgb="FF000000"/>
      <name val="Cambria Math"/>
      <family val="0"/>
    </font>
    <font>
      <sz val="60"/>
      <color rgb="FF000000"/>
      <name val="Calibri"/>
      <family val="0"/>
    </font>
    <font>
      <vertAlign val="subscript"/>
      <sz val="32"/>
      <color rgb="FF000000"/>
      <name val="Calibri"/>
      <family val="0"/>
    </font>
    <font>
      <sz val="40"/>
      <color rgb="FF000000"/>
      <name val="Calibri"/>
      <family val="0"/>
    </font>
    <font>
      <sz val="40"/>
      <color rgb="FF000000"/>
      <name val="Cambria Math"/>
      <family val="0"/>
    </font>
    <font>
      <vertAlign val="superscript"/>
      <sz val="40"/>
      <color rgb="FF000000"/>
      <name val="Cambria Math"/>
      <family val="0"/>
    </font>
    <font>
      <vertAlign val="subscript"/>
      <sz val="40"/>
      <color rgb="FF000000"/>
      <name val="Cambria Math"/>
      <family val="0"/>
    </font>
    <font>
      <sz val="28"/>
      <color rgb="FF000000"/>
      <name val="Cambria Math"/>
      <family val="0"/>
    </font>
    <font>
      <sz val="28"/>
      <color rgb="FF000000"/>
      <name val="Calibri"/>
      <family val="0"/>
    </font>
    <font>
      <vertAlign val="superscript"/>
      <sz val="28"/>
      <color rgb="FF000000"/>
      <name val="Cambria Math"/>
      <family val="0"/>
    </font>
    <font>
      <vertAlign val="superscript"/>
      <sz val="40"/>
      <color rgb="FF000000"/>
      <name val="Calibri"/>
      <family val="0"/>
    </font>
    <font>
      <vertAlign val="subscript"/>
      <sz val="40"/>
      <color rgb="FF000000"/>
      <name val="Calibri"/>
      <family val="0"/>
    </font>
    <font>
      <sz val="40"/>
      <color rgb="FF000000"/>
      <name val="Times New Roman"/>
      <family val="0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  <font>
      <sz val="11"/>
      <color rgb="FFFFFFFF"/>
      <name val="Times New Roman"/>
      <family val="1"/>
      <charset val="1"/>
    </font>
    <font>
      <sz val="11"/>
      <color rgb="FF4472C4"/>
      <name val="Calibri"/>
      <family val="2"/>
      <charset val="1"/>
    </font>
    <font>
      <sz val="11"/>
      <color rgb="FFFFFFFF"/>
      <name val="Calibri"/>
      <family val="2"/>
      <charset val="1"/>
    </font>
    <font>
      <vertAlign val="superscript"/>
      <sz val="11"/>
      <color rgb="FFFFFFFF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E7E6E6"/>
        <bgColor rgb="FFEDEDED"/>
      </patternFill>
    </fill>
    <fill>
      <patternFill patternType="solid">
        <fgColor rgb="FFEDEDED"/>
        <bgColor rgb="FFE7E6E6"/>
      </patternFill>
    </fill>
    <fill>
      <patternFill patternType="solid">
        <fgColor rgb="FFFFFFFF"/>
        <bgColor rgb="FFEDEDED"/>
      </patternFill>
    </fill>
    <fill>
      <patternFill patternType="solid">
        <fgColor rgb="FFAFABAB"/>
        <bgColor rgb="FF969696"/>
      </patternFill>
    </fill>
  </fills>
  <borders count="2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2" borderId="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67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2" borderId="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2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2" fontId="0" fillId="2" borderId="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3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3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5" fontId="32" fillId="0" borderId="1" xfId="15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9" fontId="31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32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3" fontId="31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32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5" fontId="31" fillId="0" borderId="0" xfId="15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0" fillId="2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30" fillId="2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30" fillId="2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3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30" fillId="2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3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30" fillId="4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3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3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3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9" fontId="0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3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8" fontId="30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9" fontId="4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8" fontId="29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3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32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3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2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30" fillId="2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3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2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2" borderId="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0" fillId="2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30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5" borderId="1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3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6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6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2" borderId="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82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2" borderId="1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5" borderId="17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6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0" fillId="0" borderId="18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right" vertical="bottom" textRotation="0" wrapText="true" indent="0" shrinkToFit="false"/>
      <protection locked="true" hidden="false"/>
    </xf>
    <xf numFmtId="185" fontId="32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2" fontId="4" fillId="2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6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2" borderId="1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0" fillId="2" borderId="1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7" fontId="0" fillId="2" borderId="1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0" fillId="2" borderId="17" xfId="19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ABAB"/>
      <rgbColor rgb="FF808080"/>
      <rgbColor rgb="FF9999FF"/>
      <rgbColor rgb="FF993366"/>
      <rgbColor rgb="FFEDEDED"/>
      <rgbColor rgb="FFE7E6E6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externalLink" Target="externalLinks/externalLink1.xml"/><Relationship Id="rId14" Type="http://schemas.openxmlformats.org/officeDocument/2006/relationships/sharedStrings" Target="sharedStrings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0</xdr:colOff>
      <xdr:row>0</xdr:row>
      <xdr:rowOff>0</xdr:rowOff>
    </xdr:from>
    <xdr:to>
      <xdr:col>17</xdr:col>
      <xdr:colOff>238320</xdr:colOff>
      <xdr:row>21</xdr:row>
      <xdr:rowOff>27360</xdr:rowOff>
    </xdr:to>
    <xdr:sp>
      <xdr:nvSpPr>
        <xdr:cNvPr id="0" name="CustomShape 1"/>
        <xdr:cNvSpPr/>
      </xdr:nvSpPr>
      <xdr:spPr>
        <a:xfrm>
          <a:off x="0" y="0"/>
          <a:ext cx="10633680" cy="382752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90000"/>
            </a:lnSpc>
            <a:spcBef>
              <a:spcPts val="1001"/>
            </a:spcBef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90000"/>
            </a:lnSpc>
            <a:spcBef>
              <a:spcPts val="1001"/>
            </a:spcBef>
          </a:pPr>
          <a:r>
            <a:rPr b="0" lang="pt-BR" sz="4400" spc="-1" strike="noStrike">
              <a:solidFill>
                <a:srgbClr val="000000"/>
              </a:solidFill>
              <a:latin typeface="Calibri"/>
            </a:rPr>
            <a:t>Duration</a:t>
          </a:r>
          <a:r>
            <a:rPr b="0" lang="pt-BR" sz="4400" spc="-1" strike="noStrike">
              <a:solidFill>
                <a:srgbClr val="000000"/>
              </a:solidFill>
              <a:latin typeface="Cambria Math"/>
            </a:rPr>
            <a:t>=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1</a:t>
          </a:r>
          <a:r>
            <a:rPr b="0" lang="pt-BR" sz="4400" spc="-1" strike="noStrike">
              <a:solidFill>
                <a:srgbClr val="000000"/>
              </a:solidFill>
              <a:latin typeface="Cambria Math"/>
            </a:rPr>
            <a:t>/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𝑃</a:t>
          </a:r>
          <a:r>
            <a:rPr b="0" lang="pt-BR" sz="4400" spc="-1" strike="noStrike">
              <a:solidFill>
                <a:srgbClr val="000000"/>
              </a:solidFill>
              <a:latin typeface="Cambria Math"/>
            </a:rPr>
            <a:t> ∑_(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𝑡</a:t>
          </a:r>
          <a:r>
            <a:rPr b="0" lang="pt-BR" sz="4400" spc="-1" strike="noStrike">
              <a:solidFill>
                <a:srgbClr val="000000"/>
              </a:solidFill>
              <a:latin typeface="Cambria Math"/>
            </a:rPr>
            <a:t>=1)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^𝑁</a:t>
          </a:r>
          <a:r>
            <a:rPr b="0" lang="en-US" sz="4400" spc="-1" strike="noStrike" baseline="30000">
              <a:solidFill>
                <a:srgbClr val="000000"/>
              </a:solidFill>
              <a:latin typeface="Cambria Math"/>
            </a:rPr>
            <a:t>▒</a:t>
          </a:r>
          <a:r>
            <a:rPr b="0" lang="pt-BR" sz="4400" spc="-1" strike="noStrike" baseline="30000">
              <a:solidFill>
                <a:srgbClr val="000000"/>
              </a:solidFill>
              <a:latin typeface="Cambria Math"/>
            </a:rPr>
            <a:t>□(64&amp;(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𝑡𝐶</a:t>
          </a:r>
          <a:r>
            <a:rPr b="0" lang="en-US" sz="4400" spc="-1" strike="noStrike" baseline="-25000">
              <a:solidFill>
                <a:srgbClr val="000000"/>
              </a:solidFill>
              <a:latin typeface="Cambria Math"/>
            </a:rPr>
            <a:t>𝑡 .</a:t>
          </a:r>
          <a:r>
            <a:rPr b="0" lang="pt-BR" sz="4400" spc="-1" strike="noStrike" baseline="-25000">
              <a:solidFill>
                <a:srgbClr val="000000"/>
              </a:solidFill>
              <a:latin typeface="Cambria Math"/>
            </a:rPr>
            <a:t>)/</a:t>
          </a:r>
          <a:r>
            <a:rPr b="0" lang="en-US" sz="4400" spc="-1" strike="noStrike" baseline="-25000">
              <a:solidFill>
                <a:srgbClr val="000000"/>
              </a:solidFill>
              <a:latin typeface="Cambria Math"/>
            </a:rPr>
            <a:t>(</a:t>
          </a:r>
          <a:r>
            <a:rPr b="0" lang="en-US" sz="4400" spc="-1" strike="noStrike">
              <a:solidFill>
                <a:srgbClr val="000000"/>
              </a:solidFill>
              <a:latin typeface="Cambria Math"/>
            </a:rPr>
            <a:t>1+𝑖)</a:t>
          </a:r>
          <a:r>
            <a:rPr b="0" lang="en-US" sz="4400" spc="-1" strike="noStrike" baseline="30000">
              <a:solidFill>
                <a:srgbClr val="000000"/>
              </a:solidFill>
              <a:latin typeface="Cambria Math"/>
            </a:rPr>
            <a:t>𝑡)</a:t>
          </a:r>
          <a:endParaRPr b="0" lang="en-US" sz="4400" spc="-1" strike="noStrike">
            <a:latin typeface="Times New Roman"/>
          </a:endParaRPr>
        </a:p>
        <a:p>
          <a:pPr>
            <a:lnSpc>
              <a:spcPct val="90000"/>
            </a:lnSpc>
            <a:spcBef>
              <a:spcPts val="1001"/>
            </a:spcBef>
          </a:pP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3200" spc="-1" strike="noStrike">
            <a:latin typeface="Times New Roman"/>
          </a:endParaRPr>
        </a:p>
        <a:p>
          <a:pPr>
            <a:lnSpc>
              <a:spcPct val="90000"/>
            </a:lnSpc>
            <a:spcBef>
              <a:spcPts val="1001"/>
            </a:spcBef>
          </a:pP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P = Price of bond =</a:t>
          </a:r>
          <a:r>
            <a:rPr b="0" lang="pt-BR" sz="3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pt-BR" sz="3200" spc="-1" strike="noStrike">
              <a:solidFill>
                <a:srgbClr val="000000"/>
              </a:solidFill>
              <a:latin typeface="Cambria Math"/>
            </a:rPr>
            <a:t>∑_(</a:t>
          </a:r>
          <a:r>
            <a:rPr b="0" lang="en-US" sz="3200" spc="-1" strike="noStrike">
              <a:solidFill>
                <a:srgbClr val="000000"/>
              </a:solidFill>
              <a:latin typeface="Cambria Math"/>
            </a:rPr>
            <a:t>𝑡</a:t>
          </a:r>
          <a:r>
            <a:rPr b="0" lang="pt-BR" sz="3200" spc="-1" strike="noStrike">
              <a:solidFill>
                <a:srgbClr val="000000"/>
              </a:solidFill>
              <a:latin typeface="Cambria Math"/>
            </a:rPr>
            <a:t>=1)</a:t>
          </a:r>
          <a:r>
            <a:rPr b="0" lang="en-US" sz="3200" spc="-1" strike="noStrike">
              <a:solidFill>
                <a:srgbClr val="000000"/>
              </a:solidFill>
              <a:latin typeface="Cambria Math"/>
            </a:rPr>
            <a:t>^𝑁</a:t>
          </a:r>
          <a:r>
            <a:rPr b="0" lang="en-US" sz="3200" spc="-1" strike="noStrike" baseline="30000">
              <a:solidFill>
                <a:srgbClr val="000000"/>
              </a:solidFill>
              <a:latin typeface="Cambria Math"/>
            </a:rPr>
            <a:t>▒</a:t>
          </a:r>
          <a:r>
            <a:rPr b="0" lang="pt-BR" sz="3200" spc="-1" strike="noStrike" baseline="30000">
              <a:solidFill>
                <a:srgbClr val="000000"/>
              </a:solidFill>
              <a:latin typeface="Cambria Math"/>
            </a:rPr>
            <a:t>□(64&amp;(</a:t>
          </a:r>
          <a:r>
            <a:rPr b="0" lang="en-US" sz="3200" spc="-1" strike="noStrike">
              <a:solidFill>
                <a:srgbClr val="000000"/>
              </a:solidFill>
              <a:latin typeface="Cambria Math"/>
            </a:rPr>
            <a:t>𝐶</a:t>
          </a:r>
          <a:r>
            <a:rPr b="0" lang="en-US" sz="3200" spc="-1" strike="noStrike" baseline="-25000">
              <a:solidFill>
                <a:srgbClr val="000000"/>
              </a:solidFill>
              <a:latin typeface="Cambria Math"/>
            </a:rPr>
            <a:t>𝑡 .</a:t>
          </a:r>
          <a:r>
            <a:rPr b="0" lang="pt-BR" sz="3200" spc="-1" strike="noStrike" baseline="-25000">
              <a:solidFill>
                <a:srgbClr val="000000"/>
              </a:solidFill>
              <a:latin typeface="Cambria Math"/>
            </a:rPr>
            <a:t>)/</a:t>
          </a:r>
          <a:r>
            <a:rPr b="0" lang="en-US" sz="3200" spc="-1" strike="noStrike" baseline="-25000">
              <a:solidFill>
                <a:srgbClr val="000000"/>
              </a:solidFill>
              <a:latin typeface="Cambria Math"/>
            </a:rPr>
            <a:t>(</a:t>
          </a:r>
          <a:r>
            <a:rPr b="0" lang="en-US" sz="3200" spc="-1" strike="noStrike">
              <a:solidFill>
                <a:srgbClr val="000000"/>
              </a:solidFill>
              <a:latin typeface="Cambria Math"/>
            </a:rPr>
            <a:t>1+𝑖)</a:t>
          </a:r>
          <a:r>
            <a:rPr b="0" lang="en-US" sz="3200" spc="-1" strike="noStrike" baseline="30000">
              <a:solidFill>
                <a:srgbClr val="000000"/>
              </a:solidFill>
              <a:latin typeface="Cambria Math"/>
            </a:rPr>
            <a:t>𝑡)</a:t>
          </a:r>
          <a:r>
            <a:rPr b="0" lang="en-US" sz="60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6000" spc="-1" strike="noStrike">
            <a:latin typeface="Times New Roman"/>
          </a:endParaRPr>
        </a:p>
        <a:p>
          <a:pPr>
            <a:lnSpc>
              <a:spcPct val="90000"/>
            </a:lnSpc>
            <a:spcBef>
              <a:spcPts val="1001"/>
            </a:spcBef>
          </a:pP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i = bond’s yield</a:t>
          </a:r>
          <a:endParaRPr b="0" lang="en-US" sz="3200" spc="-1" strike="noStrike">
            <a:latin typeface="Times New Roman"/>
          </a:endParaRPr>
        </a:p>
        <a:p>
          <a:pPr>
            <a:lnSpc>
              <a:spcPct val="90000"/>
            </a:lnSpc>
            <a:spcBef>
              <a:spcPts val="1001"/>
            </a:spcBef>
          </a:pP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C</a:t>
          </a:r>
          <a:r>
            <a:rPr b="0" lang="en-US" sz="3200" spc="-1" strike="noStrike" baseline="-25000">
              <a:solidFill>
                <a:srgbClr val="000000"/>
              </a:solidFill>
              <a:latin typeface="Calibri"/>
            </a:rPr>
            <a:t>t</a:t>
          </a:r>
          <a:r>
            <a:rPr b="0" lang="en-US" sz="3200" spc="-1" strike="noStrike">
              <a:solidFill>
                <a:srgbClr val="000000"/>
              </a:solidFill>
              <a:latin typeface="Calibri"/>
            </a:rPr>
            <a:t> = bond’s payment at time t</a:t>
          </a:r>
          <a:endParaRPr b="0" lang="en-US" sz="3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0</xdr:colOff>
      <xdr:row>0</xdr:row>
      <xdr:rowOff>9360</xdr:rowOff>
    </xdr:from>
    <xdr:to>
      <xdr:col>17</xdr:col>
      <xdr:colOff>238320</xdr:colOff>
      <xdr:row>23</xdr:row>
      <xdr:rowOff>14040</xdr:rowOff>
    </xdr:to>
    <xdr:sp>
      <xdr:nvSpPr>
        <xdr:cNvPr id="1" name="CustomShape 1"/>
        <xdr:cNvSpPr/>
      </xdr:nvSpPr>
      <xdr:spPr>
        <a:xfrm>
          <a:off x="0" y="9360"/>
          <a:ext cx="10633680" cy="416700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90000"/>
            </a:lnSpc>
            <a:spcBef>
              <a:spcPts val="1001"/>
            </a:spcBef>
          </a:pPr>
          <a:r>
            <a:rPr b="0" lang="pt-BR" sz="4000" spc="-1" strike="noStrike">
              <a:solidFill>
                <a:srgbClr val="000000"/>
              </a:solidFill>
              <a:latin typeface="Calibri"/>
            </a:rPr>
            <a:t>Convexity</a:t>
          </a:r>
          <a:r>
            <a:rPr b="0" lang="pt-BR" sz="4000" spc="-1" strike="noStrike">
              <a:solidFill>
                <a:srgbClr val="000000"/>
              </a:solidFill>
              <a:latin typeface="Cambria Math"/>
            </a:rPr>
            <a:t>=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1</a:t>
          </a:r>
          <a:r>
            <a:rPr b="0" lang="pt-BR" sz="4000" spc="-1" strike="noStrike">
              <a:solidFill>
                <a:srgbClr val="000000"/>
              </a:solidFill>
              <a:latin typeface="Cambria Math"/>
            </a:rPr>
            <a:t>/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𝑃</a:t>
          </a:r>
          <a:r>
            <a:rPr b="0" lang="pt-BR" sz="4000" spc="-1" strike="noStrike">
              <a:solidFill>
                <a:srgbClr val="000000"/>
              </a:solidFill>
              <a:latin typeface="Cambria Math"/>
            </a:rPr>
            <a:t> ∑_(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𝑡</a:t>
          </a:r>
          <a:r>
            <a:rPr b="0" lang="pt-BR" sz="4000" spc="-1" strike="noStrike">
              <a:solidFill>
                <a:srgbClr val="000000"/>
              </a:solidFill>
              <a:latin typeface="Cambria Math"/>
            </a:rPr>
            <a:t>=1)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^𝑁</a:t>
          </a:r>
          <a:r>
            <a:rPr b="0" lang="en-US" sz="4000" spc="-1" strike="noStrike" baseline="30000">
              <a:solidFill>
                <a:srgbClr val="000000"/>
              </a:solidFill>
              <a:latin typeface="Cambria Math"/>
            </a:rPr>
            <a:t>▒</a:t>
          </a:r>
          <a:r>
            <a:rPr b="0" lang="pt-BR" sz="4000" spc="-1" strike="noStrike" baseline="30000">
              <a:solidFill>
                <a:srgbClr val="000000"/>
              </a:solidFill>
              <a:latin typeface="Cambria Math"/>
            </a:rPr>
            <a:t>□(64&amp;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𝐶</a:t>
          </a:r>
          <a:r>
            <a:rPr b="0" lang="en-US" sz="4000" spc="-1" strike="noStrike" baseline="-25000">
              <a:solidFill>
                <a:srgbClr val="000000"/>
              </a:solidFill>
              <a:latin typeface="Cambria Math"/>
            </a:rPr>
            <a:t>𝑡</a:t>
          </a:r>
          <a:r>
            <a:rPr b="0" lang="pt-BR" sz="4000" spc="-1" strike="noStrike" baseline="-25000">
              <a:solidFill>
                <a:srgbClr val="000000"/>
              </a:solidFill>
              <a:latin typeface="Cambria Math"/>
            </a:rPr>
            <a:t>/</a:t>
          </a:r>
          <a:r>
            <a:rPr b="0" lang="en-US" sz="4000" spc="-1" strike="noStrike" baseline="-25000">
              <a:solidFill>
                <a:srgbClr val="000000"/>
              </a:solidFill>
              <a:latin typeface="Cambria Math"/>
            </a:rPr>
            <a:t>(</a:t>
          </a:r>
          <a:r>
            <a:rPr b="0" lang="en-US" sz="4000" spc="-1" strike="noStrike">
              <a:solidFill>
                <a:srgbClr val="000000"/>
              </a:solidFill>
              <a:latin typeface="Cambria Math"/>
            </a:rPr>
            <a:t>1+𝑖)</a:t>
          </a:r>
          <a:r>
            <a:rPr b="0" lang="en-US" sz="4000" spc="-1" strike="noStrike" baseline="30000">
              <a:solidFill>
                <a:srgbClr val="000000"/>
              </a:solidFill>
              <a:latin typeface="Cambria Math"/>
            </a:rPr>
            <a:t>𝑡)</a:t>
          </a:r>
          <a:r>
            <a:rPr b="0" lang="en-US" sz="4000" spc="-1" strike="noStrike">
              <a:solidFill>
                <a:srgbClr val="000000"/>
              </a:solidFill>
              <a:latin typeface="Calibri"/>
            </a:rPr>
            <a:t> x </a:t>
          </a:r>
          <a:r>
            <a:rPr b="0" lang="en-US" sz="2800" spc="-1" strike="noStrike">
              <a:solidFill>
                <a:srgbClr val="000000"/>
              </a:solidFill>
              <a:latin typeface="Cambria Math"/>
            </a:rPr>
            <a:t>1</a:t>
          </a:r>
          <a:r>
            <a:rPr b="0" lang="pt-BR" sz="2800" spc="-1" strike="noStrike">
              <a:solidFill>
                <a:srgbClr val="000000"/>
              </a:solidFill>
              <a:latin typeface="Calibri"/>
            </a:rPr>
            <a:t>/</a:t>
          </a:r>
          <a:r>
            <a:rPr b="0" lang="en-US" sz="2800" spc="-1" strike="noStrike">
              <a:solidFill>
                <a:srgbClr val="000000"/>
              </a:solidFill>
              <a:latin typeface="Calibri"/>
            </a:rPr>
            <a:t>(1+𝑖)</a:t>
          </a:r>
          <a:r>
            <a:rPr b="0" lang="en-US" sz="2800" spc="-1" strike="noStrike" baseline="30000">
              <a:solidFill>
                <a:srgbClr val="000000"/>
              </a:solidFill>
              <a:latin typeface="Cambria Math"/>
            </a:rPr>
            <a:t>2</a:t>
          </a:r>
          <a:r>
            <a:rPr b="0" lang="en-US" sz="4000" spc="-1" strike="noStrike">
              <a:solidFill>
                <a:srgbClr val="000000"/>
              </a:solidFill>
              <a:latin typeface="Calibri"/>
            </a:rPr>
            <a:t>  x (t</a:t>
          </a:r>
          <a:r>
            <a:rPr b="0" lang="en-US" sz="4000" spc="-1" strike="noStrike" baseline="30000">
              <a:solidFill>
                <a:srgbClr val="000000"/>
              </a:solidFill>
              <a:latin typeface="Calibri"/>
            </a:rPr>
            <a:t>2</a:t>
          </a:r>
          <a:r>
            <a:rPr b="0" lang="en-US" sz="4000" spc="-1" strike="noStrike">
              <a:solidFill>
                <a:srgbClr val="000000"/>
              </a:solidFill>
              <a:latin typeface="Calibri"/>
            </a:rPr>
            <a:t> + t)  </a:t>
          </a:r>
          <a:endParaRPr b="0" lang="en-US" sz="4000" spc="-1" strike="noStrike">
            <a:latin typeface="Times New Roman"/>
          </a:endParaRPr>
        </a:p>
        <a:p>
          <a:pPr algn="ctr">
            <a:lnSpc>
              <a:spcPct val="90000"/>
            </a:lnSpc>
            <a:spcBef>
              <a:spcPts val="1001"/>
            </a:spcBef>
          </a:pPr>
          <a:r>
            <a:rPr b="0" lang="en-US" sz="4000" spc="-1" strike="noStrike">
              <a:solidFill>
                <a:srgbClr val="000000"/>
              </a:solidFill>
              <a:latin typeface="Calibri"/>
            </a:rPr>
            <a:t>P = price of bond</a:t>
          </a:r>
          <a:endParaRPr b="0" lang="en-US" sz="4000" spc="-1" strike="noStrike">
            <a:latin typeface="Times New Roman"/>
          </a:endParaRPr>
        </a:p>
        <a:p>
          <a:pPr algn="ctr">
            <a:lnSpc>
              <a:spcPct val="90000"/>
            </a:lnSpc>
            <a:spcBef>
              <a:spcPts val="1001"/>
            </a:spcBef>
          </a:pPr>
          <a:r>
            <a:rPr b="0" lang="en-US" sz="4000" spc="-1" strike="noStrike">
              <a:solidFill>
                <a:srgbClr val="000000"/>
              </a:solidFill>
              <a:latin typeface="Calibri"/>
            </a:rPr>
            <a:t>C</a:t>
          </a:r>
          <a:r>
            <a:rPr b="0" lang="en-US" sz="4000" spc="-1" strike="noStrike" baseline="-25000">
              <a:solidFill>
                <a:srgbClr val="000000"/>
              </a:solidFill>
              <a:latin typeface="Calibri"/>
            </a:rPr>
            <a:t>t</a:t>
          </a:r>
          <a:r>
            <a:rPr b="0" lang="en-US" sz="4000" spc="-1" strike="noStrike">
              <a:solidFill>
                <a:srgbClr val="000000"/>
              </a:solidFill>
              <a:latin typeface="Calibri"/>
            </a:rPr>
            <a:t> = Payment of bond at t</a:t>
          </a:r>
          <a:endParaRPr b="0" lang="en-US" sz="4000" spc="-1" strike="noStrike">
            <a:latin typeface="Times New Roman"/>
          </a:endParaRPr>
        </a:p>
        <a:p>
          <a:pPr algn="ctr">
            <a:lnSpc>
              <a:spcPct val="90000"/>
            </a:lnSpc>
            <a:spcBef>
              <a:spcPts val="1001"/>
            </a:spcBef>
          </a:pPr>
          <a:r>
            <a:rPr b="0" lang="en-US" sz="4000" spc="-1" strike="noStrike">
              <a:solidFill>
                <a:srgbClr val="000000"/>
              </a:solidFill>
              <a:latin typeface="Calibri"/>
            </a:rPr>
            <a:t>i = bond’s yield</a:t>
          </a:r>
          <a:endParaRPr b="0" lang="en-US" sz="4000" spc="-1" strike="noStrike">
            <a:latin typeface="Times New Roman"/>
          </a:endParaRPr>
        </a:p>
        <a:p>
          <a:pPr algn="ctr">
            <a:lnSpc>
              <a:spcPct val="90000"/>
            </a:lnSpc>
            <a:spcBef>
              <a:spcPts val="1001"/>
            </a:spcBef>
          </a:pPr>
          <a:endParaRPr b="0" lang="en-US" sz="40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0</xdr:rowOff>
    </xdr:from>
    <xdr:to>
      <xdr:col>11</xdr:col>
      <xdr:colOff>385200</xdr:colOff>
      <xdr:row>53</xdr:row>
      <xdr:rowOff>25920</xdr:rowOff>
    </xdr:to>
    <xdr:pic>
      <xdr:nvPicPr>
        <xdr:cNvPr id="2" name="Picture 11" descr=""/>
        <xdr:cNvPicPr/>
      </xdr:nvPicPr>
      <xdr:blipFill>
        <a:blip r:embed="rId1"/>
        <a:stretch/>
      </xdr:blipFill>
      <xdr:spPr>
        <a:xfrm>
          <a:off x="0" y="542880"/>
          <a:ext cx="7111440" cy="907452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smb://1E2FED72/convexity_duration_macaulay_periodic_and_annual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lanation of file"/>
      <sheetName val="Periodic Duration"/>
      <sheetName val="Annual duration"/>
      <sheetName val="Sheet1"/>
    </sheetNames>
    <sheetDataSet>
      <sheetData sheetId="0"/>
      <sheetData sheetId="1"/>
      <sheetData sheetId="2"/>
      <sheetData sheetId="3"/>
    </sheetDataSet>
  </externalBook>
</externalLink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8.6796875" defaultRowHeight="14.25" zeroHeight="false" outlineLevelRow="0" outlineLevelCol="0"/>
  <cols>
    <col collapsed="false" customWidth="true" hidden="false" outlineLevel="0" max="2" min="2" style="0" width="27.86"/>
  </cols>
  <sheetData>
    <row r="1" customFormat="false" ht="14.25" hidden="false" customHeight="false" outlineLevel="0" collapsed="false">
      <c r="A1" s="0" t="s">
        <v>0</v>
      </c>
      <c r="B1" s="1" t="s">
        <v>1</v>
      </c>
    </row>
    <row r="2" customFormat="false" ht="14.25" hidden="false" customHeight="false" outlineLevel="0" collapsed="false">
      <c r="A2" s="0" t="s">
        <v>2</v>
      </c>
      <c r="B2" s="2" t="n">
        <v>903548616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22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J14" activeCellId="0" sqref="J14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21.4"/>
    <col collapsed="false" customWidth="true" hidden="false" outlineLevel="0" max="2" min="2" style="0" width="11.4"/>
    <col collapsed="false" customWidth="true" hidden="false" outlineLevel="0" max="4" min="4" style="0" width="10.6"/>
    <col collapsed="false" customWidth="true" hidden="false" outlineLevel="0" max="5" min="5" style="0" width="13.27"/>
    <col collapsed="false" customWidth="true" hidden="false" outlineLevel="0" max="6" min="6" style="0" width="12.53"/>
    <col collapsed="false" customWidth="true" hidden="false" outlineLevel="0" max="10" min="10" style="0" width="14.01"/>
  </cols>
  <sheetData>
    <row r="1" customFormat="false" ht="14.25" hidden="false" customHeight="false" outlineLevel="0" collapsed="false">
      <c r="A1" s="3" t="s">
        <v>3</v>
      </c>
      <c r="H1" s="0" t="s">
        <v>4</v>
      </c>
    </row>
    <row r="3" customFormat="false" ht="15.75" hidden="false" customHeight="false" outlineLevel="0" collapsed="false">
      <c r="A3" s="4" t="s">
        <v>5</v>
      </c>
      <c r="B3" s="4" t="s">
        <v>6</v>
      </c>
      <c r="C3" s="4"/>
      <c r="H3" s="0" t="s">
        <v>7</v>
      </c>
    </row>
    <row r="4" customFormat="false" ht="15.75" hidden="false" customHeight="false" outlineLevel="0" collapsed="false">
      <c r="A4" s="1" t="s">
        <v>8</v>
      </c>
      <c r="B4" s="5" t="n">
        <v>1000</v>
      </c>
      <c r="C4" s="6"/>
      <c r="H4" s="0" t="s">
        <v>9</v>
      </c>
    </row>
    <row r="5" customFormat="false" ht="15.75" hidden="false" customHeight="false" outlineLevel="0" collapsed="false">
      <c r="A5" s="1" t="s">
        <v>10</v>
      </c>
      <c r="B5" s="5" t="n">
        <v>0.05</v>
      </c>
      <c r="C5" s="6"/>
      <c r="H5" s="0" t="s">
        <v>11</v>
      </c>
    </row>
    <row r="6" customFormat="false" ht="14.25" hidden="false" customHeight="false" outlineLevel="0" collapsed="false">
      <c r="A6" s="1" t="s">
        <v>12</v>
      </c>
      <c r="B6" s="5" t="n">
        <v>0.06</v>
      </c>
      <c r="C6" s="6"/>
      <c r="D6" s="0" t="s">
        <v>13</v>
      </c>
    </row>
    <row r="7" customFormat="false" ht="14.25" hidden="false" customHeight="false" outlineLevel="0" collapsed="false">
      <c r="A7" s="1" t="s">
        <v>14</v>
      </c>
      <c r="B7" s="5" t="n">
        <v>5</v>
      </c>
      <c r="C7" s="6"/>
      <c r="H7" s="3" t="s">
        <v>15</v>
      </c>
      <c r="I7" s="3"/>
      <c r="J7" s="3"/>
      <c r="K7" s="3"/>
    </row>
    <row r="9" customFormat="false" ht="14.25" hidden="false" customHeight="false" outlineLevel="0" collapsed="false">
      <c r="A9" s="3" t="s">
        <v>16</v>
      </c>
      <c r="B9" s="3"/>
      <c r="C9" s="3"/>
      <c r="D9" s="3"/>
      <c r="E9" s="3"/>
    </row>
    <row r="11" customFormat="false" ht="28.5" hidden="false" customHeight="false" outlineLevel="0" collapsed="false">
      <c r="A11" s="0" t="s">
        <v>17</v>
      </c>
      <c r="B11" s="7" t="s">
        <v>18</v>
      </c>
      <c r="C11" s="0" t="s">
        <v>8</v>
      </c>
      <c r="D11" s="7" t="s">
        <v>19</v>
      </c>
      <c r="E11" s="7" t="s">
        <v>20</v>
      </c>
      <c r="F11" s="7" t="s">
        <v>21</v>
      </c>
      <c r="H11" s="8" t="s">
        <v>22</v>
      </c>
      <c r="I11" s="8"/>
      <c r="J11" s="8"/>
    </row>
    <row r="12" customFormat="false" ht="57" hidden="false" customHeight="false" outlineLevel="0" collapsed="false">
      <c r="A12" s="0" t="n">
        <v>0</v>
      </c>
      <c r="D12" s="9" t="n">
        <f aca="false">SUM(D13:D22)</f>
        <v>213.255070919396</v>
      </c>
      <c r="E12" s="9" t="n">
        <f aca="false">C22/(1+B6/2)^(B7*2)</f>
        <v>744.093914896725</v>
      </c>
      <c r="F12" s="9" t="n">
        <f aca="false">D12+E12</f>
        <v>957.348985816121</v>
      </c>
      <c r="H12" s="10" t="s">
        <v>23</v>
      </c>
      <c r="I12" s="10" t="s">
        <v>24</v>
      </c>
      <c r="J12" s="10" t="s">
        <v>25</v>
      </c>
    </row>
    <row r="13" customFormat="false" ht="14.25" hidden="false" customHeight="false" outlineLevel="0" collapsed="false">
      <c r="A13" s="0" t="n">
        <v>1</v>
      </c>
      <c r="B13" s="0" t="n">
        <f aca="false">B$4*B$5/2</f>
        <v>25</v>
      </c>
      <c r="D13" s="11" t="n">
        <f aca="false">$B13/(1+$B$6/2)^A13</f>
        <v>24.2718446601942</v>
      </c>
      <c r="H13" s="12" t="n">
        <f aca="false">-PV(B6/2,B7*2,B4*B5/2,0)</f>
        <v>213.255070919396</v>
      </c>
      <c r="I13" s="13" t="n">
        <f aca="false">-PV(B6/2,B7*2, 0, 1000)</f>
        <v>744.093914896725</v>
      </c>
      <c r="J13" s="12" t="n">
        <f aca="false">H13+I13</f>
        <v>957.348985816121</v>
      </c>
    </row>
    <row r="14" customFormat="false" ht="28.5" hidden="false" customHeight="false" outlineLevel="0" collapsed="false">
      <c r="A14" s="0" t="n">
        <v>2</v>
      </c>
      <c r="B14" s="0" t="n">
        <f aca="false">B$4*B$5/2</f>
        <v>25</v>
      </c>
      <c r="D14" s="11" t="n">
        <f aca="false">$B14/(1+$B$6/2)^A14</f>
        <v>23.5648977283439</v>
      </c>
      <c r="H14" s="7" t="s">
        <v>26</v>
      </c>
      <c r="I14" s="14" t="s">
        <v>6</v>
      </c>
    </row>
    <row r="15" customFormat="false" ht="14.25" hidden="false" customHeight="false" outlineLevel="0" collapsed="false">
      <c r="A15" s="0" t="n">
        <v>3</v>
      </c>
      <c r="B15" s="0" t="n">
        <f aca="false">B$4*B$5/2</f>
        <v>25</v>
      </c>
      <c r="D15" s="11" t="n">
        <f aca="false">$B15/(1+$B$6/2)^A15</f>
        <v>22.878541483829</v>
      </c>
    </row>
    <row r="16" customFormat="false" ht="14.25" hidden="false" customHeight="false" outlineLevel="0" collapsed="false">
      <c r="A16" s="0" t="n">
        <v>4</v>
      </c>
      <c r="B16" s="0" t="n">
        <f aca="false">B$4*B$5/2</f>
        <v>25</v>
      </c>
      <c r="D16" s="11" t="n">
        <f aca="false">$B16/(1+$B$6/2)^A16</f>
        <v>22.2121761978922</v>
      </c>
    </row>
    <row r="17" customFormat="false" ht="14.25" hidden="false" customHeight="false" outlineLevel="0" collapsed="false">
      <c r="A17" s="0" t="n">
        <v>5</v>
      </c>
      <c r="B17" s="0" t="n">
        <f aca="false">B$4*B$5/2</f>
        <v>25</v>
      </c>
      <c r="D17" s="11" t="n">
        <f aca="false">$B17/(1+$B$6/2)^A17</f>
        <v>21.5652196096041</v>
      </c>
    </row>
    <row r="18" customFormat="false" ht="14.25" hidden="false" customHeight="false" outlineLevel="0" collapsed="false">
      <c r="A18" s="0" t="n">
        <v>6</v>
      </c>
      <c r="B18" s="0" t="n">
        <f aca="false">B$4*B$5/2</f>
        <v>25</v>
      </c>
      <c r="D18" s="11" t="n">
        <f aca="false">$B18/(1+$B$6/2)^A18</f>
        <v>20.9371064170914</v>
      </c>
    </row>
    <row r="19" customFormat="false" ht="14.25" hidden="false" customHeight="false" outlineLevel="0" collapsed="false">
      <c r="A19" s="0" t="n">
        <v>7</v>
      </c>
      <c r="B19" s="0" t="n">
        <f aca="false">B$4*B$5/2</f>
        <v>25</v>
      </c>
      <c r="D19" s="11" t="n">
        <f aca="false">$B19/(1+$B$6/2)^A19</f>
        <v>20.3272877835838</v>
      </c>
    </row>
    <row r="20" customFormat="false" ht="14.25" hidden="false" customHeight="false" outlineLevel="0" collapsed="false">
      <c r="A20" s="0" t="n">
        <v>8</v>
      </c>
      <c r="B20" s="0" t="n">
        <f aca="false">B$4*B$5/2</f>
        <v>25</v>
      </c>
      <c r="D20" s="11" t="n">
        <f aca="false">$B20/(1+$B$6/2)^A20</f>
        <v>19.7352308578484</v>
      </c>
    </row>
    <row r="21" customFormat="false" ht="14.25" hidden="false" customHeight="false" outlineLevel="0" collapsed="false">
      <c r="A21" s="0" t="n">
        <v>9</v>
      </c>
      <c r="B21" s="0" t="n">
        <f aca="false">B$4*B$5/2</f>
        <v>25</v>
      </c>
      <c r="D21" s="11" t="n">
        <f aca="false">$B21/(1+$B$6/2)^A21</f>
        <v>19.1604183085907</v>
      </c>
    </row>
    <row r="22" customFormat="false" ht="14.25" hidden="false" customHeight="false" outlineLevel="0" collapsed="false">
      <c r="A22" s="0" t="n">
        <v>10</v>
      </c>
      <c r="B22" s="0" t="n">
        <f aca="false">B$4*B$5/2</f>
        <v>25</v>
      </c>
      <c r="C22" s="0" t="n">
        <f aca="false">B4</f>
        <v>1000</v>
      </c>
      <c r="D22" s="11" t="n">
        <f aca="false">$B22/(1+$B$6/2)^A22</f>
        <v>18.6023478724181</v>
      </c>
    </row>
  </sheetData>
  <mergeCells count="1">
    <mergeCell ref="H11:J1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1" activeCellId="0" sqref="B11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16.14"/>
    <col collapsed="false" customWidth="true" hidden="false" outlineLevel="0" max="7" min="7" style="0" width="12.27"/>
    <col collapsed="false" customWidth="true" hidden="false" outlineLevel="0" max="8" min="8" style="0" width="9.86"/>
  </cols>
  <sheetData>
    <row r="1" customFormat="false" ht="14.25" hidden="false" customHeight="false" outlineLevel="0" collapsed="false">
      <c r="A1" s="0" t="s">
        <v>3</v>
      </c>
      <c r="D1" s="0" t="s">
        <v>15</v>
      </c>
    </row>
    <row r="2" customFormat="false" ht="14.25" hidden="false" customHeight="false" outlineLevel="0" collapsed="false">
      <c r="D2" s="0" t="s">
        <v>4</v>
      </c>
    </row>
    <row r="3" customFormat="false" ht="14.25" hidden="false" customHeight="false" outlineLevel="0" collapsed="false">
      <c r="A3" s="4" t="s">
        <v>5</v>
      </c>
      <c r="B3" s="4" t="s">
        <v>6</v>
      </c>
    </row>
    <row r="4" customFormat="false" ht="15.75" hidden="false" customHeight="false" outlineLevel="0" collapsed="false">
      <c r="A4" s="1" t="s">
        <v>8</v>
      </c>
      <c r="B4" s="5" t="n">
        <v>1000</v>
      </c>
      <c r="D4" s="0" t="s">
        <v>11</v>
      </c>
    </row>
    <row r="5" customFormat="false" ht="14.25" hidden="false" customHeight="false" outlineLevel="0" collapsed="false">
      <c r="A5" s="1" t="s">
        <v>10</v>
      </c>
      <c r="B5" s="5" t="n">
        <v>0.05</v>
      </c>
    </row>
    <row r="6" customFormat="false" ht="14.25" hidden="false" customHeight="false" outlineLevel="0" collapsed="false">
      <c r="A6" s="1" t="s">
        <v>12</v>
      </c>
      <c r="B6" s="5" t="n">
        <v>0.06</v>
      </c>
    </row>
    <row r="7" customFormat="false" ht="14.25" hidden="false" customHeight="false" outlineLevel="0" collapsed="false">
      <c r="A7" s="1" t="s">
        <v>14</v>
      </c>
      <c r="B7" s="5" t="n">
        <v>15</v>
      </c>
    </row>
    <row r="9" customFormat="false" ht="14.25" hidden="false" customHeight="false" outlineLevel="0" collapsed="false">
      <c r="A9" s="3" t="s">
        <v>27</v>
      </c>
      <c r="B9" s="0" t="s">
        <v>28</v>
      </c>
      <c r="C9" s="0" t="s">
        <v>29</v>
      </c>
      <c r="D9" s="0" t="s">
        <v>30</v>
      </c>
      <c r="G9" s="15" t="s">
        <v>22</v>
      </c>
    </row>
    <row r="10" customFormat="false" ht="14.25" hidden="false" customHeight="false" outlineLevel="0" collapsed="false">
      <c r="A10" s="1" t="n">
        <v>0</v>
      </c>
      <c r="B10" s="1"/>
      <c r="C10" s="1"/>
      <c r="D10" s="16" t="n">
        <f aca="false">SUM(C11:C94)</f>
        <v>901.997793252651</v>
      </c>
      <c r="G10" s="10" t="s">
        <v>31</v>
      </c>
    </row>
    <row r="11" customFormat="false" ht="14.25" hidden="false" customHeight="false" outlineLevel="0" collapsed="false">
      <c r="A11" s="17" t="n">
        <f aca="false">IFERROR(IF($B$7*2&gt;A10, A10+1, " "), " ")</f>
        <v>1</v>
      </c>
      <c r="B11" s="17" t="n">
        <f aca="false">IF($B$7*2&gt;$A11, $B$4*$B$5/2, IF($B$7*2=$A11, $B$4+($B$4*$B$5/2), " "))</f>
        <v>25</v>
      </c>
      <c r="C11" s="17" t="n">
        <f aca="false">IF(B11&lt;&gt;" ", B11/(1+$B$6/2)^A11, " ")</f>
        <v>24.2718446601942</v>
      </c>
      <c r="D11" s="0" t="s">
        <v>6</v>
      </c>
      <c r="G11" s="18" t="n">
        <f aca="false">-PV($B$6/2,$B$7*2,$B$4*$B$5/2,1000)</f>
        <v>901.997793252651</v>
      </c>
      <c r="H11" s="0" t="s">
        <v>32</v>
      </c>
    </row>
    <row r="12" customFormat="false" ht="14.25" hidden="false" customHeight="false" outlineLevel="0" collapsed="false">
      <c r="A12" s="17" t="n">
        <f aca="false">IFERROR(IF($B$7*2&gt;A11, A11+1, " "), " ")</f>
        <v>2</v>
      </c>
      <c r="B12" s="17" t="n">
        <f aca="false">IF($B$7*2&gt;$A12, $B$4*$B$5/2, IF($B$7*2=$A12, $B$4+($B$4*$B$5/2), " "))</f>
        <v>25</v>
      </c>
      <c r="C12" s="17" t="n">
        <f aca="false">IF(B12&lt;&gt;" ", B12/(1+$B$6/2)^A12, " ")</f>
        <v>23.5648977283439</v>
      </c>
      <c r="G12" s="7" t="s">
        <v>6</v>
      </c>
    </row>
    <row r="13" customFormat="false" ht="14.25" hidden="false" customHeight="false" outlineLevel="0" collapsed="false">
      <c r="A13" s="17" t="n">
        <f aca="false">IFERROR(IF($B$7*2&gt;A12, A12+1, " "), " ")</f>
        <v>3</v>
      </c>
      <c r="B13" s="17" t="n">
        <f aca="false">IF($B$7*2&gt;$A13, $B$4*$B$5/2, IF($B$7*2=$A13, $B$4+($B$4*$B$5/2), " "))</f>
        <v>25</v>
      </c>
      <c r="C13" s="17" t="n">
        <f aca="false">IF(B13&lt;&gt;" ", B13/(1+$B$6/2)^A13, " ")</f>
        <v>22.878541483829</v>
      </c>
    </row>
    <row r="14" customFormat="false" ht="14.25" hidden="false" customHeight="false" outlineLevel="0" collapsed="false">
      <c r="A14" s="17" t="n">
        <f aca="false">IFERROR(IF($B$7*2&gt;A13, A13+1, " "), " ")</f>
        <v>4</v>
      </c>
      <c r="B14" s="17" t="n">
        <f aca="false">IF($B$7*2&gt;$A14, $B$4*$B$5/2, IF($B$7*2=$A14, $B$4+($B$4*$B$5/2), " "))</f>
        <v>25</v>
      </c>
      <c r="C14" s="17" t="n">
        <f aca="false">IF(B14&lt;&gt;" ", B14/(1+$B$6/2)^A14, " ")</f>
        <v>22.2121761978922</v>
      </c>
    </row>
    <row r="15" customFormat="false" ht="14.25" hidden="false" customHeight="false" outlineLevel="0" collapsed="false">
      <c r="A15" s="17" t="n">
        <f aca="false">IFERROR(IF($B$7*2&gt;A14, A14+1, " "), " ")</f>
        <v>5</v>
      </c>
      <c r="B15" s="17" t="n">
        <f aca="false">IF($B$7*2&gt;$A15, $B$4*$B$5/2, IF($B$7*2=$A15, $B$4+($B$4*$B$5/2), " "))</f>
        <v>25</v>
      </c>
      <c r="C15" s="17" t="n">
        <f aca="false">IF(B15&lt;&gt;" ", B15/(1+$B$6/2)^A15, " ")</f>
        <v>21.5652196096041</v>
      </c>
    </row>
    <row r="16" customFormat="false" ht="14.25" hidden="false" customHeight="false" outlineLevel="0" collapsed="false">
      <c r="A16" s="17" t="n">
        <f aca="false">IFERROR(IF($B$7*2&gt;A15, A15+1, " "), " ")</f>
        <v>6</v>
      </c>
      <c r="B16" s="17" t="n">
        <f aca="false">IF($B$7*2&gt;$A16, $B$4*$B$5/2, IF($B$7*2=$A16, $B$4+($B$4*$B$5/2), " "))</f>
        <v>25</v>
      </c>
      <c r="C16" s="17" t="n">
        <f aca="false">IF(B16&lt;&gt;" ", B16/(1+$B$6/2)^A16, " ")</f>
        <v>20.9371064170914</v>
      </c>
    </row>
    <row r="17" customFormat="false" ht="14.25" hidden="false" customHeight="false" outlineLevel="0" collapsed="false">
      <c r="A17" s="17" t="n">
        <f aca="false">IFERROR(IF($B$7*2&gt;A16, A16+1, " "), " ")</f>
        <v>7</v>
      </c>
      <c r="B17" s="17" t="n">
        <f aca="false">IF($B$7*2&gt;$A17, $B$4*$B$5/2, IF($B$7*2=$A17, $B$4+($B$4*$B$5/2), " "))</f>
        <v>25</v>
      </c>
      <c r="C17" s="17" t="n">
        <f aca="false">IF(B17&lt;&gt;" ", B17/(1+$B$6/2)^A17, " ")</f>
        <v>20.3272877835838</v>
      </c>
    </row>
    <row r="18" customFormat="false" ht="14.25" hidden="false" customHeight="false" outlineLevel="0" collapsed="false">
      <c r="A18" s="17" t="n">
        <f aca="false">IFERROR(IF($B$7*2&gt;A17, A17+1, " "), " ")</f>
        <v>8</v>
      </c>
      <c r="B18" s="17" t="n">
        <f aca="false">IF($B$7*2&gt;$A18, $B$4*$B$5/2, IF($B$7*2=$A18, $B$4+($B$4*$B$5/2), " "))</f>
        <v>25</v>
      </c>
      <c r="C18" s="17" t="n">
        <f aca="false">IF(B18&lt;&gt;" ", B18/(1+$B$6/2)^A18, " ")</f>
        <v>19.7352308578484</v>
      </c>
    </row>
    <row r="19" customFormat="false" ht="14.25" hidden="false" customHeight="false" outlineLevel="0" collapsed="false">
      <c r="A19" s="17" t="n">
        <f aca="false">IFERROR(IF($B$7*2&gt;A18, A18+1, " "), " ")</f>
        <v>9</v>
      </c>
      <c r="B19" s="17" t="n">
        <f aca="false">IF($B$7*2&gt;$A19, $B$4*$B$5/2, IF($B$7*2=$A19, $B$4+($B$4*$B$5/2), " "))</f>
        <v>25</v>
      </c>
      <c r="C19" s="17" t="n">
        <f aca="false">IF(B19&lt;&gt;" ", B19/(1+$B$6/2)^A19, " ")</f>
        <v>19.1604183085907</v>
      </c>
    </row>
    <row r="20" customFormat="false" ht="14.25" hidden="false" customHeight="false" outlineLevel="0" collapsed="false">
      <c r="A20" s="17" t="n">
        <f aca="false">IFERROR(IF($B$7*2&gt;A19, A19+1, " "), " ")</f>
        <v>10</v>
      </c>
      <c r="B20" s="17" t="n">
        <f aca="false">IF($B$7*2&gt;$A20, $B$4*$B$5/2, IF($B$7*2=$A20, $B$4+($B$4*$B$5/2), " "))</f>
        <v>25</v>
      </c>
      <c r="C20" s="17" t="n">
        <f aca="false">IF(B20&lt;&gt;" ", B20/(1+$B$6/2)^A20, " ")</f>
        <v>18.6023478724181</v>
      </c>
    </row>
    <row r="21" customFormat="false" ht="14.25" hidden="false" customHeight="false" outlineLevel="0" collapsed="false">
      <c r="A21" s="17" t="n">
        <f aca="false">IFERROR(IF($B$7*2&gt;A20, A20+1, " "), " ")</f>
        <v>11</v>
      </c>
      <c r="B21" s="17" t="n">
        <f aca="false">IF($B$7*2&gt;$A21, $B$4*$B$5/2, IF($B$7*2=$A21, $B$4+($B$4*$B$5/2), " "))</f>
        <v>25</v>
      </c>
      <c r="C21" s="17" t="n">
        <f aca="false">IF(B21&lt;&gt;" ", B21/(1+$B$6/2)^A21, " ")</f>
        <v>18.0605319149691</v>
      </c>
    </row>
    <row r="22" customFormat="false" ht="14.25" hidden="false" customHeight="false" outlineLevel="0" collapsed="false">
      <c r="A22" s="17" t="n">
        <f aca="false">IFERROR(IF($B$7*2&gt;A21, A21+1, " "), " ")</f>
        <v>12</v>
      </c>
      <c r="B22" s="17" t="n">
        <f aca="false">IF($B$7*2&gt;$A22, $B$4*$B$5/2, IF($B$7*2=$A22, $B$4+($B$4*$B$5/2), " "))</f>
        <v>25</v>
      </c>
      <c r="C22" s="17" t="n">
        <f aca="false">IF(B22&lt;&gt;" ", B22/(1+$B$6/2)^A22, " ")</f>
        <v>17.5344970048243</v>
      </c>
    </row>
    <row r="23" customFormat="false" ht="14.25" hidden="false" customHeight="false" outlineLevel="0" collapsed="false">
      <c r="A23" s="17" t="n">
        <f aca="false">IFERROR(IF($B$7*2&gt;A22, A22+1, " "), " ")</f>
        <v>13</v>
      </c>
      <c r="B23" s="17" t="n">
        <f aca="false">IF($B$7*2&gt;$A23, $B$4*$B$5/2, IF($B$7*2=$A23, $B$4+($B$4*$B$5/2), " "))</f>
        <v>25</v>
      </c>
      <c r="C23" s="17" t="n">
        <f aca="false">IF(B23&lt;&gt;" ", B23/(1+$B$6/2)^A23, " ")</f>
        <v>17.0237834998294</v>
      </c>
    </row>
    <row r="24" customFormat="false" ht="14.25" hidden="false" customHeight="false" outlineLevel="0" collapsed="false">
      <c r="A24" s="17" t="n">
        <f aca="false">IFERROR(IF($B$7*2&gt;A23, A23+1, " "), " ")</f>
        <v>14</v>
      </c>
      <c r="B24" s="17" t="n">
        <f aca="false">IF($B$7*2&gt;$A24, $B$4*$B$5/2, IF($B$7*2=$A24, $B$4+($B$4*$B$5/2), " "))</f>
        <v>25</v>
      </c>
      <c r="C24" s="17" t="n">
        <f aca="false">IF(B24&lt;&gt;" ", B24/(1+$B$6/2)^A24, " ")</f>
        <v>16.5279451454655</v>
      </c>
    </row>
    <row r="25" customFormat="false" ht="14.25" hidden="false" customHeight="false" outlineLevel="0" collapsed="false">
      <c r="A25" s="17" t="n">
        <f aca="false">IFERROR(IF($B$7*2&gt;A24, A24+1, " "), " ")</f>
        <v>15</v>
      </c>
      <c r="B25" s="17" t="n">
        <f aca="false">IF($B$7*2&gt;$A25, $B$4*$B$5/2, IF($B$7*2=$A25, $B$4+($B$4*$B$5/2), " "))</f>
        <v>25</v>
      </c>
      <c r="C25" s="17" t="n">
        <f aca="false">IF(B25&lt;&gt;" ", B25/(1+$B$6/2)^A25, " ")</f>
        <v>16.0465486849179</v>
      </c>
    </row>
    <row r="26" customFormat="false" ht="14.25" hidden="false" customHeight="false" outlineLevel="0" collapsed="false">
      <c r="A26" s="17" t="n">
        <f aca="false">IFERROR(IF($B$7*2&gt;A25, A25+1, " "), " ")</f>
        <v>16</v>
      </c>
      <c r="B26" s="17" t="n">
        <f aca="false">IF($B$7*2&gt;$A26, $B$4*$B$5/2, IF($B$7*2=$A26, $B$4+($B$4*$B$5/2), " "))</f>
        <v>25</v>
      </c>
      <c r="C26" s="17" t="n">
        <f aca="false">IF(B26&lt;&gt;" ", B26/(1+$B$6/2)^A26, " ")</f>
        <v>15.5791734805028</v>
      </c>
    </row>
    <row r="27" customFormat="false" ht="14.25" hidden="false" customHeight="false" outlineLevel="0" collapsed="false">
      <c r="A27" s="17" t="n">
        <f aca="false">IFERROR(IF($B$7*2&gt;A26, A26+1, " "), " ")</f>
        <v>17</v>
      </c>
      <c r="B27" s="17" t="n">
        <f aca="false">IF($B$7*2&gt;$A27, $B$4*$B$5/2, IF($B$7*2=$A27, $B$4+($B$4*$B$5/2), " "))</f>
        <v>25</v>
      </c>
      <c r="C27" s="17" t="n">
        <f aca="false">IF(B27&lt;&gt;" ", B27/(1+$B$6/2)^A27, " ")</f>
        <v>15.1254111461193</v>
      </c>
    </row>
    <row r="28" customFormat="false" ht="14.25" hidden="false" customHeight="false" outlineLevel="0" collapsed="false">
      <c r="A28" s="17" t="n">
        <f aca="false">IFERROR(IF($B$7*2&gt;A27, A27+1, " "), " ")</f>
        <v>18</v>
      </c>
      <c r="B28" s="17" t="n">
        <f aca="false">IF($B$7*2&gt;$A28, $B$4*$B$5/2, IF($B$7*2=$A28, $B$4+($B$4*$B$5/2), " "))</f>
        <v>25</v>
      </c>
      <c r="C28" s="17" t="n">
        <f aca="false">IF(B28&lt;&gt;" ", B28/(1+$B$6/2)^A28, " ")</f>
        <v>14.6848651904071</v>
      </c>
    </row>
    <row r="29" customFormat="false" ht="14.25" hidden="false" customHeight="false" outlineLevel="0" collapsed="false">
      <c r="A29" s="17" t="n">
        <f aca="false">IFERROR(IF($B$7*2&gt;A28, A28+1, " "), " ")</f>
        <v>19</v>
      </c>
      <c r="B29" s="17" t="n">
        <f aca="false">IF($B$7*2&gt;$A29, $B$4*$B$5/2, IF($B$7*2=$A29, $B$4+($B$4*$B$5/2), " "))</f>
        <v>25</v>
      </c>
      <c r="C29" s="17" t="n">
        <f aca="false">IF(B29&lt;&gt;" ", B29/(1+$B$6/2)^A29, " ")</f>
        <v>14.2571506702981</v>
      </c>
    </row>
    <row r="30" customFormat="false" ht="14.25" hidden="false" customHeight="false" outlineLevel="0" collapsed="false">
      <c r="A30" s="17" t="n">
        <f aca="false">IFERROR(IF($B$7*2&gt;A29, A29+1, " "), " ")</f>
        <v>20</v>
      </c>
      <c r="B30" s="17" t="n">
        <f aca="false">IF($B$7*2&gt;$A30, $B$4*$B$5/2, IF($B$7*2=$A30, $B$4+($B$4*$B$5/2), " "))</f>
        <v>25</v>
      </c>
      <c r="C30" s="17" t="n">
        <f aca="false">IF(B30&lt;&gt;" ", B30/(1+$B$6/2)^A30, " ")</f>
        <v>13.8418938546584</v>
      </c>
    </row>
    <row r="31" customFormat="false" ht="14.25" hidden="false" customHeight="false" outlineLevel="0" collapsed="false">
      <c r="A31" s="17" t="n">
        <f aca="false">IFERROR(IF($B$7*2&gt;A30, A30+1, " "), " ")</f>
        <v>21</v>
      </c>
      <c r="B31" s="17" t="n">
        <f aca="false">IF($B$7*2&gt;$A31, $B$4*$B$5/2, IF($B$7*2=$A31, $B$4+($B$4*$B$5/2), " "))</f>
        <v>25</v>
      </c>
      <c r="C31" s="17" t="n">
        <f aca="false">IF(B31&lt;&gt;" ", B31/(1+$B$6/2)^A31, " ")</f>
        <v>13.4387318977266</v>
      </c>
    </row>
    <row r="32" customFormat="false" ht="14.25" hidden="false" customHeight="false" outlineLevel="0" collapsed="false">
      <c r="A32" s="17" t="n">
        <f aca="false">IFERROR(IF($B$7*2&gt;A31, A31+1, " "), " ")</f>
        <v>22</v>
      </c>
      <c r="B32" s="17" t="n">
        <f aca="false">IF($B$7*2&gt;$A32, $B$4*$B$5/2, IF($B$7*2=$A32, $B$4+($B$4*$B$5/2), " "))</f>
        <v>25</v>
      </c>
      <c r="C32" s="17" t="n">
        <f aca="false">IF(B32&lt;&gt;" ", B32/(1+$B$6/2)^A32, " ")</f>
        <v>13.0473125220646</v>
      </c>
    </row>
    <row r="33" customFormat="false" ht="14.25" hidden="false" customHeight="false" outlineLevel="0" collapsed="false">
      <c r="A33" s="17" t="n">
        <f aca="false">IFERROR(IF($B$7*2&gt;A32, A32+1, " "), " ")</f>
        <v>23</v>
      </c>
      <c r="B33" s="17" t="n">
        <f aca="false">IF($B$7*2&gt;$A33, $B$4*$B$5/2, IF($B$7*2=$A33, $B$4+($B$4*$B$5/2), " "))</f>
        <v>25</v>
      </c>
      <c r="C33" s="17" t="n">
        <f aca="false">IF(B33&lt;&gt;" ", B33/(1+$B$6/2)^A33, " ")</f>
        <v>12.6672937107424</v>
      </c>
    </row>
    <row r="34" customFormat="false" ht="14.25" hidden="false" customHeight="false" outlineLevel="0" collapsed="false">
      <c r="A34" s="17" t="n">
        <f aca="false">IFERROR(IF($B$7*2&gt;A33, A33+1, " "), " ")</f>
        <v>24</v>
      </c>
      <c r="B34" s="17" t="n">
        <f aca="false">IF($B$7*2&gt;$A34, $B$4*$B$5/2, IF($B$7*2=$A34, $B$4+($B$4*$B$5/2), " "))</f>
        <v>25</v>
      </c>
      <c r="C34" s="17" t="n">
        <f aca="false">IF(B34&lt;&gt;" ", B34/(1+$B$6/2)^A34, " ")</f>
        <v>12.2983434084877</v>
      </c>
    </row>
    <row r="35" customFormat="false" ht="14.25" hidden="false" customHeight="false" outlineLevel="0" collapsed="false">
      <c r="A35" s="17" t="n">
        <f aca="false">IFERROR(IF($B$7*2&gt;A34, A34+1, " "), " ")</f>
        <v>25</v>
      </c>
      <c r="B35" s="17" t="n">
        <f aca="false">IF($B$7*2&gt;$A35, $B$4*$B$5/2, IF($B$7*2=$A35, $B$4+($B$4*$B$5/2), " "))</f>
        <v>25</v>
      </c>
      <c r="C35" s="17" t="n">
        <f aca="false">IF(B35&lt;&gt;" ", B35/(1+$B$6/2)^A35, " ")</f>
        <v>11.9401392315415</v>
      </c>
    </row>
    <row r="36" customFormat="false" ht="14.25" hidden="false" customHeight="false" outlineLevel="0" collapsed="false">
      <c r="A36" s="17" t="n">
        <f aca="false">IFERROR(IF($B$7*2&gt;A35, A35+1, " "), " ")</f>
        <v>26</v>
      </c>
      <c r="B36" s="17" t="n">
        <f aca="false">IF($B$7*2&gt;$A36, $B$4*$B$5/2, IF($B$7*2=$A36, $B$4+($B$4*$B$5/2), " "))</f>
        <v>25</v>
      </c>
      <c r="C36" s="17" t="n">
        <f aca="false">IF(B36&lt;&gt;" ", B36/(1+$B$6/2)^A36, " ")</f>
        <v>11.5923681859626</v>
      </c>
    </row>
    <row r="37" customFormat="false" ht="14.25" hidden="false" customHeight="false" outlineLevel="0" collapsed="false">
      <c r="A37" s="17" t="n">
        <f aca="false">IFERROR(IF($B$7*2&gt;A36, A36+1, " "), " ")</f>
        <v>27</v>
      </c>
      <c r="B37" s="17" t="n">
        <f aca="false">IF($B$7*2&gt;$A37, $B$4*$B$5/2, IF($B$7*2=$A37, $B$4+($B$4*$B$5/2), " "))</f>
        <v>25</v>
      </c>
      <c r="C37" s="17" t="n">
        <f aca="false">IF(B37&lt;&gt;" ", B37/(1+$B$6/2)^A37, " ")</f>
        <v>11.2547263941384</v>
      </c>
    </row>
    <row r="38" customFormat="false" ht="14.25" hidden="false" customHeight="false" outlineLevel="0" collapsed="false">
      <c r="A38" s="17" t="n">
        <f aca="false">IFERROR(IF($B$7*2&gt;A37, A37+1, " "), " ")</f>
        <v>28</v>
      </c>
      <c r="B38" s="17" t="n">
        <f aca="false">IF($B$7*2&gt;$A38, $B$4*$B$5/2, IF($B$7*2=$A38, $B$4+($B$4*$B$5/2), " "))</f>
        <v>25</v>
      </c>
      <c r="C38" s="17" t="n">
        <f aca="false">IF(B38&lt;&gt;" ", B38/(1+$B$6/2)^A38, " ")</f>
        <v>10.9269188292606</v>
      </c>
    </row>
    <row r="39" customFormat="false" ht="14.25" hidden="false" customHeight="false" outlineLevel="0" collapsed="false">
      <c r="A39" s="17" t="n">
        <f aca="false">IFERROR(IF($B$7*2&gt;A38, A38+1, " "), " ")</f>
        <v>29</v>
      </c>
      <c r="B39" s="17" t="n">
        <f aca="false">IF($B$7*2&gt;$A39, $B$4*$B$5/2, IF($B$7*2=$A39, $B$4+($B$4*$B$5/2), " "))</f>
        <v>25</v>
      </c>
      <c r="C39" s="17" t="n">
        <f aca="false">IF(B39&lt;&gt;" ", B39/(1+$B$6/2)^A39, " ")</f>
        <v>10.6086590575346</v>
      </c>
    </row>
    <row r="40" customFormat="false" ht="14.25" hidden="false" customHeight="false" outlineLevel="0" collapsed="false">
      <c r="A40" s="17" t="n">
        <f aca="false">IFERROR(IF($B$7*2&gt;A39, A39+1, " "), " ")</f>
        <v>30</v>
      </c>
      <c r="B40" s="17" t="n">
        <f aca="false">IF($B$7*2&gt;$A40, $B$4*$B$5/2, IF($B$7*2=$A40, $B$4+($B$4*$B$5/2), " "))</f>
        <v>1025</v>
      </c>
      <c r="C40" s="17" t="n">
        <f aca="false">IF(B40&lt;&gt;" ", B40/(1+$B$6/2)^A40, " ")</f>
        <v>422.286428503804</v>
      </c>
    </row>
    <row r="41" customFormat="false" ht="14.25" hidden="false" customHeight="false" outlineLevel="0" collapsed="false">
      <c r="A41" s="17" t="str">
        <f aca="false">IFERROR(IF($B$7*2&gt;A40, A40+1, " "), " ")</f>
        <v> </v>
      </c>
      <c r="B41" s="17" t="str">
        <f aca="false">IF($B$7*2&gt;$A41, $B$4*$B$5/2, IF($B$7*2=$A41, $B$4+($B$4*$B$5/2), " "))</f>
        <v> </v>
      </c>
      <c r="C41" s="17" t="str">
        <f aca="false">IF(B41&lt;&gt;" ", B41/(1+$B$6/2)^A41, " ")</f>
        <v> </v>
      </c>
    </row>
    <row r="42" customFormat="false" ht="14.25" hidden="false" customHeight="false" outlineLevel="0" collapsed="false">
      <c r="A42" s="17" t="str">
        <f aca="false">IFERROR(IF($B$7*2&gt;A41, A41+1, " "), " ")</f>
        <v> </v>
      </c>
      <c r="B42" s="17" t="str">
        <f aca="false">IF($B$7*2&gt;$A42, $B$4*$B$5/2, IF($B$7*2=$A42, $B$4+($B$4*$B$5/2), " "))</f>
        <v> </v>
      </c>
      <c r="C42" s="17" t="str">
        <f aca="false">IF(B42&lt;&gt;" ", B42/(1+$B$6/2)^A42, " ")</f>
        <v> </v>
      </c>
    </row>
    <row r="43" customFormat="false" ht="14.25" hidden="false" customHeight="false" outlineLevel="0" collapsed="false">
      <c r="A43" s="17" t="str">
        <f aca="false">IFERROR(IF($B$7*2&gt;A42, A42+1, " "), " ")</f>
        <v> </v>
      </c>
      <c r="B43" s="17" t="str">
        <f aca="false">IF($B$7*2&gt;$A43, $B$4*$B$5/2, IF($B$7*2=$A43, $B$4+($B$4*$B$5/2), " "))</f>
        <v> </v>
      </c>
      <c r="C43" s="17" t="str">
        <f aca="false">IF(B43&lt;&gt;" ", B43/(1+$B$6/2)^A43, " ")</f>
        <v> </v>
      </c>
    </row>
    <row r="44" customFormat="false" ht="14.25" hidden="false" customHeight="false" outlineLevel="0" collapsed="false">
      <c r="A44" s="17" t="str">
        <f aca="false">IFERROR(IF($B$7*2&gt;A43, A43+1, " "), " ")</f>
        <v> </v>
      </c>
      <c r="B44" s="17" t="str">
        <f aca="false">IF($B$7*2&gt;$A44, $B$4*$B$5/2, IF($B$7*2=$A44, $B$4+($B$4*$B$5/2), " "))</f>
        <v> </v>
      </c>
      <c r="C44" s="17" t="str">
        <f aca="false">IF(B44&lt;&gt;" ", B44/(1+$B$6/2)^A44, " ")</f>
        <v> </v>
      </c>
    </row>
    <row r="45" customFormat="false" ht="14.25" hidden="false" customHeight="false" outlineLevel="0" collapsed="false">
      <c r="A45" s="17" t="str">
        <f aca="false">IFERROR(IF($B$7*2&gt;A44, A44+1, " "), " ")</f>
        <v> </v>
      </c>
      <c r="B45" s="17" t="str">
        <f aca="false">IF($B$7*2&gt;$A45, $B$4*$B$5/2, IF($B$7*2=$A45, $B$4+($B$4*$B$5/2), " "))</f>
        <v> </v>
      </c>
      <c r="C45" s="17" t="str">
        <f aca="false">IF(B45&lt;&gt;" ", B45/(1+$B$6/2)^A45, " ")</f>
        <v> </v>
      </c>
    </row>
    <row r="46" customFormat="false" ht="14.25" hidden="false" customHeight="false" outlineLevel="0" collapsed="false">
      <c r="A46" s="17" t="str">
        <f aca="false">IFERROR(IF($B$7*2&gt;A45, A45+1, " "), " ")</f>
        <v> </v>
      </c>
      <c r="B46" s="17" t="str">
        <f aca="false">IF($B$7*2&gt;$A46, $B$4*$B$5/2, IF($B$7*2=$A46, $B$4+($B$4*$B$5/2), " "))</f>
        <v> </v>
      </c>
      <c r="C46" s="17" t="str">
        <f aca="false">IF(B46&lt;&gt;" ", B46/(1+$B$6/2)^A46, " ")</f>
        <v> </v>
      </c>
    </row>
    <row r="47" customFormat="false" ht="14.25" hidden="false" customHeight="false" outlineLevel="0" collapsed="false">
      <c r="A47" s="17" t="str">
        <f aca="false">IFERROR(IF($B$7*2&gt;A46, A46+1, " "), " ")</f>
        <v> </v>
      </c>
      <c r="B47" s="17" t="str">
        <f aca="false">IF($B$7*2&gt;$A47, $B$4*$B$5/2, IF($B$7*2=$A47, $B$4+($B$4*$B$5/2), " "))</f>
        <v> </v>
      </c>
      <c r="C47" s="17" t="str">
        <f aca="false">IF(B47&lt;&gt;" ", B47/(1+$B$6/2)^A47, " ")</f>
        <v> </v>
      </c>
    </row>
    <row r="48" customFormat="false" ht="14.25" hidden="false" customHeight="false" outlineLevel="0" collapsed="false">
      <c r="A48" s="17" t="str">
        <f aca="false">IFERROR(IF($B$7*2&gt;A47, A47+1, " "), " ")</f>
        <v> </v>
      </c>
      <c r="B48" s="17" t="str">
        <f aca="false">IF($B$7*2&gt;$A48, $B$4*$B$5/2, IF($B$7*2=$A48, $B$4+($B$4*$B$5/2), " "))</f>
        <v> </v>
      </c>
      <c r="C48" s="17" t="str">
        <f aca="false">IF(B48&lt;&gt;" ", B48/(1+$B$6/2)^A48, " ")</f>
        <v> </v>
      </c>
    </row>
    <row r="49" customFormat="false" ht="14.25" hidden="false" customHeight="false" outlineLevel="0" collapsed="false">
      <c r="A49" s="17" t="str">
        <f aca="false">IFERROR(IF($B$7*2&gt;A48, A48+1, " "), " ")</f>
        <v> </v>
      </c>
      <c r="B49" s="17" t="str">
        <f aca="false">IF($B$7*2&gt;$A49, $B$4*$B$5/2, IF($B$7*2=$A49, $B$4+($B$4*$B$5/2), " "))</f>
        <v> </v>
      </c>
      <c r="C49" s="17" t="str">
        <f aca="false">IF(B49&lt;&gt;" ", B49/(1+$B$6/2)^A49, " ")</f>
        <v> </v>
      </c>
    </row>
    <row r="50" customFormat="false" ht="14.25" hidden="false" customHeight="false" outlineLevel="0" collapsed="false">
      <c r="A50" s="17" t="str">
        <f aca="false">IFERROR(IF($B$7*2&gt;A49, A49+1, " "), " ")</f>
        <v> </v>
      </c>
      <c r="B50" s="17" t="str">
        <f aca="false">IF($B$7*2&gt;$A50, $B$4*$B$5/2, IF($B$7*2=$A50, $B$4+($B$4*$B$5/2), " "))</f>
        <v> </v>
      </c>
      <c r="C50" s="17" t="str">
        <f aca="false">IF(B50&lt;&gt;" ", B50/(1+$B$6/2)^A50, " ")</f>
        <v> </v>
      </c>
    </row>
    <row r="51" customFormat="false" ht="14.25" hidden="false" customHeight="false" outlineLevel="0" collapsed="false">
      <c r="A51" s="17" t="str">
        <f aca="false">IFERROR(IF($B$7*2&gt;A50, A50+1, " "), " ")</f>
        <v> </v>
      </c>
      <c r="B51" s="17" t="str">
        <f aca="false">IF($B$7*2&gt;$A51, $B$4*$B$5/2, IF($B$7*2=$A51, $B$4+($B$4*$B$5/2), " "))</f>
        <v> </v>
      </c>
      <c r="C51" s="17" t="str">
        <f aca="false">IF(B51&lt;&gt;" ", B51/(1+$B$6/2)^A51, " ")</f>
        <v> </v>
      </c>
    </row>
    <row r="52" customFormat="false" ht="14.25" hidden="false" customHeight="false" outlineLevel="0" collapsed="false">
      <c r="A52" s="17" t="str">
        <f aca="false">IFERROR(IF($B$7*2&gt;A51, A51+1, " "), " ")</f>
        <v> </v>
      </c>
      <c r="B52" s="17" t="str">
        <f aca="false">IF($B$7*2&gt;$A52, $B$4*$B$5/2, IF($B$7*2=$A52, $B$4+($B$4*$B$5/2), " "))</f>
        <v> </v>
      </c>
      <c r="C52" s="17" t="str">
        <f aca="false">IF(B52&lt;&gt;" ", B52/(1+$B$6/2)^A52, " ")</f>
        <v> </v>
      </c>
    </row>
    <row r="53" customFormat="false" ht="14.25" hidden="false" customHeight="false" outlineLevel="0" collapsed="false">
      <c r="A53" s="17" t="str">
        <f aca="false">IFERROR(IF($B$7*2&gt;A52, A52+1, " "), " ")</f>
        <v> </v>
      </c>
      <c r="B53" s="17" t="str">
        <f aca="false">IF($B$7*2&gt;$A53, $B$4*$B$5/2, IF($B$7*2=$A53, $B$4+($B$4*$B$5/2), " "))</f>
        <v> </v>
      </c>
      <c r="C53" s="17" t="str">
        <f aca="false">IF(B53&lt;&gt;" ", B53/(1+$B$6/2)^A53, " ")</f>
        <v> </v>
      </c>
    </row>
    <row r="54" customFormat="false" ht="14.25" hidden="false" customHeight="false" outlineLevel="0" collapsed="false">
      <c r="A54" s="17" t="str">
        <f aca="false">IFERROR(IF($B$7*2&gt;A53, A53+1, " "), " ")</f>
        <v> </v>
      </c>
      <c r="B54" s="17" t="str">
        <f aca="false">IF($B$7*2&gt;$A54, $B$4*$B$5/2, IF($B$7*2=$A54, $B$4+($B$4*$B$5/2), " "))</f>
        <v> </v>
      </c>
      <c r="C54" s="17" t="str">
        <f aca="false">IF(B54&lt;&gt;" ", B54/(1+$B$6/2)^A54, " ")</f>
        <v> </v>
      </c>
    </row>
    <row r="55" customFormat="false" ht="14.25" hidden="false" customHeight="false" outlineLevel="0" collapsed="false">
      <c r="A55" s="17" t="str">
        <f aca="false">IFERROR(IF($B$7*2&gt;A54, A54+1, " "), " ")</f>
        <v> </v>
      </c>
      <c r="B55" s="17" t="str">
        <f aca="false">IF($B$7*2&gt;$A55, $B$4*$B$5/2, IF($B$7*2=$A55, $B$4+($B$4*$B$5/2), " "))</f>
        <v> </v>
      </c>
      <c r="C55" s="17" t="str">
        <f aca="false">IF(B55&lt;&gt;" ", B55/(1+$B$6/2)^A55, " ")</f>
        <v> </v>
      </c>
    </row>
    <row r="56" customFormat="false" ht="14.25" hidden="false" customHeight="false" outlineLevel="0" collapsed="false">
      <c r="A56" s="17" t="str">
        <f aca="false">IFERROR(IF($B$7*2&gt;A55, A55+1, " "), " ")</f>
        <v> </v>
      </c>
      <c r="B56" s="17" t="str">
        <f aca="false">IF($B$7*2&gt;$A56, $B$4*$B$5/2, IF($B$7*2=$A56, $B$4+($B$4*$B$5/2), " "))</f>
        <v> </v>
      </c>
      <c r="C56" s="17" t="str">
        <f aca="false">IF(B56&lt;&gt;" ", B56/(1+$B$6/2)^A56, " ")</f>
        <v> </v>
      </c>
    </row>
    <row r="57" customFormat="false" ht="14.25" hidden="false" customHeight="false" outlineLevel="0" collapsed="false">
      <c r="A57" s="17" t="str">
        <f aca="false">IFERROR(IF($B$7*2&gt;A56, A56+1, " "), " ")</f>
        <v> </v>
      </c>
      <c r="B57" s="17" t="str">
        <f aca="false">IF($B$7*2&gt;$A57, $B$4*$B$5/2, IF($B$7*2=$A57, $B$4+($B$4*$B$5/2), " "))</f>
        <v> </v>
      </c>
      <c r="C57" s="17" t="str">
        <f aca="false">IF(B57&lt;&gt;" ", B57/(1+$B$6/2)^A57, " ")</f>
        <v> </v>
      </c>
    </row>
    <row r="58" customFormat="false" ht="14.25" hidden="false" customHeight="false" outlineLevel="0" collapsed="false">
      <c r="A58" s="17" t="str">
        <f aca="false">IFERROR(IF($B$7*2&gt;A57, A57+1, " "), " ")</f>
        <v> </v>
      </c>
      <c r="B58" s="17" t="str">
        <f aca="false">IF($B$7*2&gt;$A58, $B$4*$B$5/2, IF($B$7*2=$A58, $B$4+($B$4*$B$5/2), " "))</f>
        <v> </v>
      </c>
      <c r="C58" s="17" t="str">
        <f aca="false">IF(B58&lt;&gt;" ", B58/(1+$B$6/2)^A58, " ")</f>
        <v> </v>
      </c>
    </row>
    <row r="59" customFormat="false" ht="14.25" hidden="false" customHeight="false" outlineLevel="0" collapsed="false">
      <c r="A59" s="17" t="str">
        <f aca="false">IFERROR(IF($B$7*2&gt;A58, A58+1, " "), " ")</f>
        <v> </v>
      </c>
      <c r="B59" s="17" t="str">
        <f aca="false">IF($B$7*2&gt;$A59, $B$4*$B$5/2, IF($B$7*2=$A59, $B$4+($B$4*$B$5/2), " "))</f>
        <v> </v>
      </c>
      <c r="C59" s="17" t="str">
        <f aca="false">IF(B59&lt;&gt;" ", B59/(1+$B$6/2)^A59, " ")</f>
        <v> </v>
      </c>
    </row>
    <row r="60" customFormat="false" ht="14.25" hidden="false" customHeight="false" outlineLevel="0" collapsed="false">
      <c r="A60" s="17" t="str">
        <f aca="false">IFERROR(IF($B$7*2&gt;A59, A59+1, " "), " ")</f>
        <v> </v>
      </c>
      <c r="B60" s="17" t="str">
        <f aca="false">IF($B$7*2&gt;$A60, $B$4*$B$5/2, IF($B$7*2=$A60, $B$4+($B$4*$B$5/2), " "))</f>
        <v> </v>
      </c>
      <c r="C60" s="17" t="str">
        <f aca="false">IF(B60&lt;&gt;" ", B60/(1+$B$6/2)^A60, " ")</f>
        <v> </v>
      </c>
    </row>
    <row r="61" customFormat="false" ht="14.25" hidden="false" customHeight="false" outlineLevel="0" collapsed="false">
      <c r="A61" s="17" t="str">
        <f aca="false">IFERROR(IF($B$7*2&gt;A60, A60+1, " "), " ")</f>
        <v> </v>
      </c>
      <c r="B61" s="17" t="str">
        <f aca="false">IF($B$7*2&gt;$A61, $B$4*$B$5/2, IF($B$7*2=$A61, $B$4+($B$4*$B$5/2), " "))</f>
        <v> </v>
      </c>
      <c r="C61" s="17" t="str">
        <f aca="false">IF(B61&lt;&gt;" ", B61/(1+$B$6/2)^A61, " ")</f>
        <v> </v>
      </c>
    </row>
    <row r="62" customFormat="false" ht="14.25" hidden="false" customHeight="false" outlineLevel="0" collapsed="false">
      <c r="A62" s="17" t="str">
        <f aca="false">IFERROR(IF($B$7*2&gt;A61, A61+1, " "), " ")</f>
        <v> </v>
      </c>
      <c r="B62" s="17" t="str">
        <f aca="false">IF($B$7*2&gt;$A62, $B$4*$B$5/2, IF($B$7*2=$A62, $B$4+($B$4*$B$5/2), " "))</f>
        <v> </v>
      </c>
      <c r="C62" s="17" t="str">
        <f aca="false">IF(B62&lt;&gt;" ", B62/(1+$B$6/2)^A62, " ")</f>
        <v> </v>
      </c>
    </row>
    <row r="63" customFormat="false" ht="14.25" hidden="false" customHeight="false" outlineLevel="0" collapsed="false">
      <c r="A63" s="17" t="str">
        <f aca="false">IFERROR(IF($B$7*2&gt;A62, A62+1, " "), " ")</f>
        <v> </v>
      </c>
      <c r="B63" s="17" t="str">
        <f aca="false">IF($B$7*2&gt;$A63, $B$4*$B$5/2, IF($B$7*2=$A63, $B$4+($B$4*$B$5/2), " "))</f>
        <v> </v>
      </c>
      <c r="C63" s="17" t="str">
        <f aca="false">IF(B63&lt;&gt;" ", B63/(1+$B$6/2)^A63, " ")</f>
        <v> </v>
      </c>
    </row>
    <row r="64" customFormat="false" ht="14.25" hidden="false" customHeight="false" outlineLevel="0" collapsed="false">
      <c r="A64" s="17" t="str">
        <f aca="false">IFERROR(IF($B$7*2&gt;A63, A63+1, " "), " ")</f>
        <v> </v>
      </c>
      <c r="B64" s="17" t="str">
        <f aca="false">IF($B$7*2&gt;$A64, $B$4*$B$5/2, IF($B$7*2=$A64, $B$4+($B$4*$B$5/2), " "))</f>
        <v> </v>
      </c>
      <c r="C64" s="17" t="str">
        <f aca="false">IF(B64&lt;&gt;" ", B64/(1+$B$6/2)^A64, " ")</f>
        <v> </v>
      </c>
    </row>
    <row r="65" customFormat="false" ht="14.25" hidden="false" customHeight="false" outlineLevel="0" collapsed="false">
      <c r="A65" s="17" t="str">
        <f aca="false">IFERROR(IF($B$7*2&gt;A64, A64+1, " "), " ")</f>
        <v> </v>
      </c>
      <c r="B65" s="17" t="str">
        <f aca="false">IF($B$7*2&gt;$A65, $B$4*$B$5/2, IF($B$7*2=$A65, $B$4+($B$4*$B$5/2), " "))</f>
        <v> </v>
      </c>
      <c r="C65" s="17" t="str">
        <f aca="false">IF(B65&lt;&gt;" ", B65/(1+$B$6/2)^A65, " ")</f>
        <v> </v>
      </c>
    </row>
    <row r="66" customFormat="false" ht="14.25" hidden="false" customHeight="false" outlineLevel="0" collapsed="false">
      <c r="A66" s="17" t="str">
        <f aca="false">IFERROR(IF($B$7*2&gt;A65, A65+1, " "), " ")</f>
        <v> </v>
      </c>
      <c r="B66" s="17" t="str">
        <f aca="false">IF($B$7*2&gt;$A66, $B$4*$B$5/2, IF($B$7*2=$A66, $B$4+($B$4*$B$5/2), " "))</f>
        <v> </v>
      </c>
      <c r="C66" s="17" t="str">
        <f aca="false">IF(B66&lt;&gt;" ", B66/(1+$B$6/2)^A66, " ")</f>
        <v> </v>
      </c>
    </row>
    <row r="67" customFormat="false" ht="14.25" hidden="false" customHeight="false" outlineLevel="0" collapsed="false">
      <c r="A67" s="17" t="str">
        <f aca="false">IFERROR(IF($B$7*2&gt;A66, A66+1, " "), " ")</f>
        <v> </v>
      </c>
      <c r="B67" s="17" t="str">
        <f aca="false">IF($B$7*2&gt;$A67, $B$4*$B$5/2, IF($B$7*2=$A67, $B$4+($B$4*$B$5/2), " "))</f>
        <v> </v>
      </c>
      <c r="C67" s="17" t="str">
        <f aca="false">IF(B67&lt;&gt;" ", B67/(1+$B$6/2)^A67, " ")</f>
        <v> </v>
      </c>
    </row>
    <row r="68" customFormat="false" ht="14.25" hidden="false" customHeight="false" outlineLevel="0" collapsed="false">
      <c r="A68" s="17" t="str">
        <f aca="false">IFERROR(IF($B$7*2&gt;A67, A67+1, " "), " ")</f>
        <v> </v>
      </c>
      <c r="B68" s="17" t="str">
        <f aca="false">IF($B$7*2&gt;$A68, $B$4*$B$5/2, IF($B$7*2=$A68, $B$4+($B$4*$B$5/2), " "))</f>
        <v> </v>
      </c>
      <c r="C68" s="17" t="str">
        <f aca="false">IF(B68&lt;&gt;" ", B68/(1+$B$6/2)^A68, " ")</f>
        <v> </v>
      </c>
    </row>
    <row r="69" customFormat="false" ht="14.25" hidden="false" customHeight="false" outlineLevel="0" collapsed="false">
      <c r="A69" s="17" t="str">
        <f aca="false">IFERROR(IF($B$7*2&gt;A68, A68+1, " "), " ")</f>
        <v> </v>
      </c>
      <c r="B69" s="17" t="str">
        <f aca="false">IF($B$7*2&gt;$A69, $B$4*$B$5/2, IF($B$7*2=$A69, $B$4+($B$4*$B$5/2), " "))</f>
        <v> </v>
      </c>
      <c r="C69" s="17" t="str">
        <f aca="false">IF(B69&lt;&gt;" ", B69/(1+$B$6/2)^A69, " ")</f>
        <v> </v>
      </c>
    </row>
    <row r="70" customFormat="false" ht="14.25" hidden="false" customHeight="false" outlineLevel="0" collapsed="false">
      <c r="A70" s="17" t="str">
        <f aca="false">IFERROR(IF($B$7*2&gt;A69, A69+1, " "), " ")</f>
        <v> </v>
      </c>
      <c r="B70" s="17" t="str">
        <f aca="false">IF($B$7*2&gt;$A70, $B$4*$B$5/2, IF($B$7*2=$A70, $B$4+($B$4*$B$5/2), " "))</f>
        <v> </v>
      </c>
      <c r="C70" s="17" t="str">
        <f aca="false">IF(B70&lt;&gt;" ", B70/(1+$B$6/2)^A70, " ")</f>
        <v> </v>
      </c>
    </row>
    <row r="71" customFormat="false" ht="14.25" hidden="false" customHeight="false" outlineLevel="0" collapsed="false">
      <c r="A71" s="17" t="str">
        <f aca="false">IFERROR(IF($B$7*2&gt;A70, A70+1, " "), " ")</f>
        <v> </v>
      </c>
      <c r="B71" s="17" t="str">
        <f aca="false">IF($B$7*2&gt;$A71, $B$4*$B$5/2, IF($B$7*2=$A71, $B$4+($B$4*$B$5/2), " "))</f>
        <v> </v>
      </c>
      <c r="C71" s="17" t="str">
        <f aca="false">IF(B71&lt;&gt;" ", B71/(1+$B$6/2)^A71, " ")</f>
        <v> </v>
      </c>
    </row>
    <row r="72" customFormat="false" ht="14.25" hidden="false" customHeight="false" outlineLevel="0" collapsed="false">
      <c r="A72" s="17" t="str">
        <f aca="false">IFERROR(IF($B$7*2&gt;A71, A71+1, " "), " ")</f>
        <v> </v>
      </c>
      <c r="B72" s="17" t="str">
        <f aca="false">IF($B$7*2&gt;$A72, $B$4*$B$5/2, IF($B$7*2=$A72, $B$4+($B$4*$B$5/2), " "))</f>
        <v> </v>
      </c>
      <c r="C72" s="17" t="str">
        <f aca="false">IF(B72&lt;&gt;" ", B72/(1+$B$6/2)^A72, " ")</f>
        <v> </v>
      </c>
    </row>
    <row r="73" customFormat="false" ht="14.25" hidden="false" customHeight="false" outlineLevel="0" collapsed="false">
      <c r="A73" s="17" t="str">
        <f aca="false">IFERROR(IF($B$7*2&gt;A72, A72+1, " "), " ")</f>
        <v> </v>
      </c>
      <c r="B73" s="17" t="str">
        <f aca="false">IF($B$7*2&gt;$A73, $B$4*$B$5/2, IF($B$7*2=$A73, $B$4+($B$4*$B$5/2), " "))</f>
        <v> </v>
      </c>
      <c r="C73" s="17" t="str">
        <f aca="false">IF(B73&lt;&gt;" ", B73/(1+$B$6/2)^A73, " ")</f>
        <v> </v>
      </c>
    </row>
    <row r="74" customFormat="false" ht="14.25" hidden="false" customHeight="false" outlineLevel="0" collapsed="false">
      <c r="A74" s="17" t="str">
        <f aca="false">IFERROR(IF($B$7*2&gt;A73, A73+1, " "), " ")</f>
        <v> </v>
      </c>
      <c r="B74" s="17" t="str">
        <f aca="false">IF($B$7*2&gt;$A74, $B$4*$B$5/2, IF($B$7*2=$A74, $B$4+($B$4*$B$5/2), " "))</f>
        <v> </v>
      </c>
      <c r="C74" s="17" t="str">
        <f aca="false">IF(B74&lt;&gt;" ", B74/(1+$B$6/2)^A74, " ")</f>
        <v> </v>
      </c>
    </row>
    <row r="75" customFormat="false" ht="14.25" hidden="false" customHeight="false" outlineLevel="0" collapsed="false">
      <c r="A75" s="17" t="str">
        <f aca="false">IFERROR(IF($B$7*2&gt;A74, A74+1, " "), " ")</f>
        <v> </v>
      </c>
      <c r="B75" s="17" t="str">
        <f aca="false">IF($B$7*2&gt;$A75, $B$4*$B$5/2, IF($B$7*2=$A75, $B$4+($B$4*$B$5/2), " "))</f>
        <v> </v>
      </c>
      <c r="C75" s="17" t="str">
        <f aca="false">IF(B75&lt;&gt;" ", B75/(1+$B$6/2)^A75, " ")</f>
        <v> </v>
      </c>
    </row>
    <row r="76" customFormat="false" ht="14.25" hidden="false" customHeight="false" outlineLevel="0" collapsed="false">
      <c r="A76" s="17" t="str">
        <f aca="false">IFERROR(IF($B$7*2&gt;A75, A75+1, " "), " ")</f>
        <v> </v>
      </c>
      <c r="B76" s="17" t="str">
        <f aca="false">IF($B$7*2&gt;$A76, $B$4*$B$5/2, IF($B$7*2=$A76, $B$4+($B$4*$B$5/2), " "))</f>
        <v> </v>
      </c>
      <c r="C76" s="17" t="str">
        <f aca="false">IF(B76&lt;&gt;" ", B76/(1+$B$6/2)^A76, " ")</f>
        <v> </v>
      </c>
    </row>
    <row r="77" customFormat="false" ht="14.25" hidden="false" customHeight="false" outlineLevel="0" collapsed="false">
      <c r="A77" s="17" t="str">
        <f aca="false">IFERROR(IF($B$7*2&gt;A76, A76+1, " "), " ")</f>
        <v> </v>
      </c>
      <c r="B77" s="17" t="str">
        <f aca="false">IF($B$7*2&gt;$A77, $B$4*$B$5/2, IF($B$7*2=$A77, $B$4+($B$4*$B$5/2), " "))</f>
        <v> </v>
      </c>
      <c r="C77" s="17" t="str">
        <f aca="false">IF(B77&lt;&gt;" ", B77/(1+$B$6/2)^A77, " ")</f>
        <v> </v>
      </c>
    </row>
    <row r="78" customFormat="false" ht="14.25" hidden="false" customHeight="false" outlineLevel="0" collapsed="false">
      <c r="A78" s="17" t="str">
        <f aca="false">IFERROR(IF($B$7*2&gt;A77, A77+1, " "), " ")</f>
        <v> </v>
      </c>
      <c r="B78" s="17" t="str">
        <f aca="false">IF($B$7*2&gt;$A78, $B$4*$B$5/2, IF($B$7*2=$A78, $B$4+($B$4*$B$5/2), " "))</f>
        <v> </v>
      </c>
      <c r="C78" s="17" t="str">
        <f aca="false">IF(B78&lt;&gt;" ", B78/(1+$B$6/2)^A78, " ")</f>
        <v> </v>
      </c>
    </row>
    <row r="79" customFormat="false" ht="14.25" hidden="false" customHeight="false" outlineLevel="0" collapsed="false">
      <c r="A79" s="17" t="str">
        <f aca="false">IFERROR(IF($B$7*2&gt;A78, A78+1, " "), " ")</f>
        <v> </v>
      </c>
      <c r="B79" s="17" t="str">
        <f aca="false">IF($B$7*2&gt;$A79, $B$4*$B$5/2, IF($B$7*2=$A79, $B$4+($B$4*$B$5/2), " "))</f>
        <v> </v>
      </c>
      <c r="C79" s="17" t="str">
        <f aca="false">IF(B79&lt;&gt;" ", B79/(1+$B$6/2)^A79, " ")</f>
        <v> </v>
      </c>
    </row>
    <row r="80" customFormat="false" ht="14.25" hidden="false" customHeight="false" outlineLevel="0" collapsed="false">
      <c r="A80" s="17" t="str">
        <f aca="false">IFERROR(IF($B$7*2&gt;A79, A79+1, " "), " ")</f>
        <v> </v>
      </c>
      <c r="B80" s="17" t="str">
        <f aca="false">IF($B$7*2&gt;$A80, $B$4*$B$5/2, IF($B$7*2=$A80, $B$4+($B$4*$B$5/2), " "))</f>
        <v> </v>
      </c>
      <c r="C80" s="17" t="str">
        <f aca="false">IF(B80&lt;&gt;" ", B80/(1+$B$6/2)^A80, " ")</f>
        <v> </v>
      </c>
    </row>
    <row r="81" customFormat="false" ht="14.25" hidden="false" customHeight="false" outlineLevel="0" collapsed="false">
      <c r="A81" s="17" t="str">
        <f aca="false">IFERROR(IF($B$7*2&gt;A80, A80+1, " "), " ")</f>
        <v> </v>
      </c>
      <c r="B81" s="17" t="str">
        <f aca="false">IF($B$7*2&gt;$A81, $B$4*$B$5/2, IF($B$7*2=$A81, $B$4+($B$4*$B$5/2), " "))</f>
        <v> </v>
      </c>
      <c r="C81" s="17" t="str">
        <f aca="false">IF(B81&lt;&gt;" ", B81/(1+$B$6/2)^A81, " ")</f>
        <v> </v>
      </c>
    </row>
    <row r="82" customFormat="false" ht="14.25" hidden="false" customHeight="false" outlineLevel="0" collapsed="false">
      <c r="A82" s="17" t="str">
        <f aca="false">IFERROR(IF($B$7*2&gt;A81, A81+1, " "), " ")</f>
        <v> </v>
      </c>
      <c r="B82" s="17" t="str">
        <f aca="false">IF($B$7*2&gt;$A82, $B$4*$B$5/2, IF($B$7*2=$A82, $B$4+($B$4*$B$5/2), " "))</f>
        <v> </v>
      </c>
      <c r="C82" s="17" t="str">
        <f aca="false">IF(B82&lt;&gt;" ", B82/(1+$B$6/2)^A82, " ")</f>
        <v> </v>
      </c>
    </row>
    <row r="83" customFormat="false" ht="14.25" hidden="false" customHeight="false" outlineLevel="0" collapsed="false">
      <c r="A83" s="17" t="str">
        <f aca="false">IFERROR(IF($B$7*2&gt;A82, A82+1, " "), " ")</f>
        <v> </v>
      </c>
      <c r="B83" s="17" t="str">
        <f aca="false">IF($B$7*2&gt;$A83, $B$4*$B$5/2, IF($B$7*2=$A83, $B$4+($B$4*$B$5/2), " "))</f>
        <v> </v>
      </c>
      <c r="C83" s="17" t="str">
        <f aca="false">IF(B83&lt;&gt;" ", B83/(1+$B$6/2)^A83, " ")</f>
        <v> </v>
      </c>
    </row>
    <row r="84" customFormat="false" ht="14.25" hidden="false" customHeight="false" outlineLevel="0" collapsed="false">
      <c r="A84" s="17" t="str">
        <f aca="false">IFERROR(IF($B$7*2&gt;A83, A83+1, " "), " ")</f>
        <v> </v>
      </c>
      <c r="B84" s="17" t="str">
        <f aca="false">IF($B$7*2&gt;$A84, $B$4*$B$5/2, IF($B$7*2=$A84, $B$4+($B$4*$B$5/2), " "))</f>
        <v> </v>
      </c>
      <c r="C84" s="17" t="str">
        <f aca="false">IF(B84&lt;&gt;" ", B84/(1+$B$6/2)^A84, " ")</f>
        <v> </v>
      </c>
    </row>
    <row r="85" customFormat="false" ht="14.25" hidden="false" customHeight="false" outlineLevel="0" collapsed="false">
      <c r="A85" s="17" t="str">
        <f aca="false">IFERROR(IF($B$7*2&gt;A84, A84+1, " "), " ")</f>
        <v> </v>
      </c>
      <c r="B85" s="17" t="str">
        <f aca="false">IF($B$7*2&gt;$A85, $B$4*$B$5/2, IF($B$7*2=$A85, $B$4+($B$4*$B$5/2), " "))</f>
        <v> </v>
      </c>
      <c r="C85" s="17" t="str">
        <f aca="false">IF(B85&lt;&gt;" ", B85/(1+$B$6/2)^A85, " ")</f>
        <v> </v>
      </c>
    </row>
    <row r="86" customFormat="false" ht="14.25" hidden="false" customHeight="false" outlineLevel="0" collapsed="false">
      <c r="A86" s="17" t="str">
        <f aca="false">IFERROR(IF($B$7*2&gt;A85, A85+1, " "), " ")</f>
        <v> </v>
      </c>
      <c r="B86" s="17" t="str">
        <f aca="false">IF($B$7*2&gt;$A86, $B$4*$B$5/2, IF($B$7*2=$A86, $B$4+($B$4*$B$5/2), " "))</f>
        <v> </v>
      </c>
      <c r="C86" s="17" t="str">
        <f aca="false">IF(B86&lt;&gt;" ", B86/(1+$B$6/2)^A86, " ")</f>
        <v> </v>
      </c>
    </row>
    <row r="87" customFormat="false" ht="14.25" hidden="false" customHeight="false" outlineLevel="0" collapsed="false">
      <c r="A87" s="17" t="str">
        <f aca="false">IFERROR(IF($B$7*2&gt;A86, A86+1, " "), " ")</f>
        <v> </v>
      </c>
      <c r="B87" s="17" t="str">
        <f aca="false">IF($B$7*2&gt;$A87, $B$4*$B$5/2, IF($B$7*2=$A87, $B$4+($B$4*$B$5/2), " "))</f>
        <v> </v>
      </c>
      <c r="C87" s="17" t="str">
        <f aca="false">IF(B87&lt;&gt;" ", B87/(1+$B$6/2)^A87, " ")</f>
        <v> </v>
      </c>
    </row>
    <row r="88" customFormat="false" ht="14.25" hidden="false" customHeight="false" outlineLevel="0" collapsed="false">
      <c r="A88" s="17" t="str">
        <f aca="false">IFERROR(IF($B$7*2&gt;A87, A87+1, " "), " ")</f>
        <v> </v>
      </c>
      <c r="B88" s="17" t="str">
        <f aca="false">IF($B$7*2&gt;$A88, $B$4*$B$5/2, IF($B$7*2=$A88, $B$4+($B$4*$B$5/2), " "))</f>
        <v> </v>
      </c>
      <c r="C88" s="17" t="str">
        <f aca="false">IF(B88&lt;&gt;" ", B88/(1+$B$6/2)^A88, " ")</f>
        <v> </v>
      </c>
    </row>
    <row r="89" customFormat="false" ht="14.25" hidden="false" customHeight="false" outlineLevel="0" collapsed="false">
      <c r="A89" s="17" t="str">
        <f aca="false">IFERROR(IF($B$7*2&gt;A88, A88+1, " "), " ")</f>
        <v> </v>
      </c>
      <c r="B89" s="17" t="str">
        <f aca="false">IF($B$7*2&gt;$A89, $B$4*$B$5/2, IF($B$7*2=$A89, $B$4+($B$4*$B$5/2), " "))</f>
        <v> </v>
      </c>
      <c r="C89" s="17" t="str">
        <f aca="false">IF(B89&lt;&gt;" ", B89/(1+$B$6/2)^A89, " ")</f>
        <v> </v>
      </c>
    </row>
    <row r="90" customFormat="false" ht="14.25" hidden="false" customHeight="false" outlineLevel="0" collapsed="false">
      <c r="A90" s="17" t="str">
        <f aca="false">IFERROR(IF($B$7*2&gt;A89, A89+1, " "), " ")</f>
        <v> </v>
      </c>
      <c r="B90" s="17" t="str">
        <f aca="false">IF($B$7*2&gt;$A90, $B$4*$B$5/2, IF($B$7*2=$A90, $B$4+($B$4*$B$5/2), " "))</f>
        <v> </v>
      </c>
      <c r="C90" s="17" t="str">
        <f aca="false">IF(B90&lt;&gt;" ", B90/(1+$B$6/2)^A90, " ")</f>
        <v> </v>
      </c>
    </row>
    <row r="91" customFormat="false" ht="14.25" hidden="false" customHeight="false" outlineLevel="0" collapsed="false">
      <c r="A91" s="17" t="str">
        <f aca="false">IFERROR(IF($B$7*2&gt;A90, A90+1, " "), " ")</f>
        <v> </v>
      </c>
      <c r="B91" s="17" t="str">
        <f aca="false">IF($B$7*2&gt;$A91, $B$4*$B$5/2, IF($B$7*2=$A91, $B$4+($B$4*$B$5/2), " "))</f>
        <v> </v>
      </c>
      <c r="C91" s="17" t="str">
        <f aca="false">IF(B91&lt;&gt;" ", B91/(1+$B$6/2)^A91, " ")</f>
        <v> </v>
      </c>
    </row>
    <row r="92" customFormat="false" ht="14.25" hidden="false" customHeight="false" outlineLevel="0" collapsed="false">
      <c r="A92" s="17" t="str">
        <f aca="false">IFERROR(IF($B$7*2&gt;A91, A91+1, " "), " ")</f>
        <v> </v>
      </c>
      <c r="B92" s="17" t="str">
        <f aca="false">IF($B$7*2&gt;$A92, $B$4*$B$5/2, IF($B$7*2=$A92, $B$4+($B$4*$B$5/2), " "))</f>
        <v> </v>
      </c>
      <c r="C92" s="17" t="str">
        <f aca="false">IF(B92&lt;&gt;" ", B92/(1+$B$6/2)^A92, " ")</f>
        <v> </v>
      </c>
    </row>
    <row r="93" customFormat="false" ht="14.25" hidden="false" customHeight="false" outlineLevel="0" collapsed="false">
      <c r="A93" s="17" t="str">
        <f aca="false">IFERROR(IF($B$7*2&gt;A92, A92+1, " "), " ")</f>
        <v> </v>
      </c>
      <c r="B93" s="17" t="str">
        <f aca="false">IF($B$7*2&gt;$A93, $B$4*$B$5/2, IF($B$7*2=$A93, $B$4+($B$4*$B$5/2), " "))</f>
        <v> </v>
      </c>
      <c r="C93" s="17" t="str">
        <f aca="false">IF(B93&lt;&gt;" ", B93/(1+$B$6/2)^A93, " ")</f>
        <v> </v>
      </c>
    </row>
    <row r="94" customFormat="false" ht="14.25" hidden="false" customHeight="false" outlineLevel="0" collapsed="false">
      <c r="A94" s="17" t="str">
        <f aca="false">IFERROR(IF($B$7*2&gt;A93, A93+1, " "), " ")</f>
        <v> </v>
      </c>
      <c r="B94" s="17" t="str">
        <f aca="false">IF($B$7*2&gt;$A94, $B$4*$B$5/2, IF($B$7*2=$A94, $B$4+($B$4*$B$5/2), " "))</f>
        <v> </v>
      </c>
      <c r="C94" s="17" t="str">
        <f aca="false">IF(B94&lt;&gt;" ", B94/(1+$B$6/2)^A94, " ")</f>
        <v>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6796875" defaultRowHeight="14.25" zeroHeight="false" outlineLevelRow="0" outlineLevelCol="0"/>
  <cols>
    <col collapsed="false" customWidth="true" hidden="false" outlineLevel="0" max="2" min="1" style="0" width="15.27"/>
  </cols>
  <sheetData>
    <row r="1" customFormat="false" ht="14.25" hidden="false" customHeight="false" outlineLevel="0" collapsed="false">
      <c r="A1" s="0" t="s">
        <v>3</v>
      </c>
      <c r="E1" s="0" t="s">
        <v>33</v>
      </c>
    </row>
    <row r="2" customFormat="false" ht="14.25" hidden="false" customHeight="false" outlineLevel="0" collapsed="false">
      <c r="E2" s="0" t="s">
        <v>34</v>
      </c>
    </row>
    <row r="3" customFormat="false" ht="14.25" hidden="false" customHeight="false" outlineLevel="0" collapsed="false">
      <c r="A3" s="4" t="s">
        <v>5</v>
      </c>
      <c r="B3" s="4" t="s">
        <v>6</v>
      </c>
      <c r="E3" s="0" t="s">
        <v>35</v>
      </c>
    </row>
    <row r="4" customFormat="false" ht="14.25" hidden="false" customHeight="false" outlineLevel="0" collapsed="false">
      <c r="A4" s="1" t="s">
        <v>8</v>
      </c>
      <c r="B4" s="5" t="n">
        <v>1000</v>
      </c>
      <c r="E4" s="0" t="s">
        <v>36</v>
      </c>
    </row>
    <row r="5" customFormat="false" ht="14.25" hidden="false" customHeight="false" outlineLevel="0" collapsed="false">
      <c r="A5" s="1" t="s">
        <v>10</v>
      </c>
      <c r="B5" s="5" t="n">
        <v>0.05</v>
      </c>
      <c r="E5" s="0" t="s">
        <v>37</v>
      </c>
    </row>
    <row r="6" customFormat="false" ht="14.25" hidden="false" customHeight="false" outlineLevel="0" collapsed="false">
      <c r="A6" s="1" t="s">
        <v>12</v>
      </c>
      <c r="B6" s="5" t="n">
        <v>0.06</v>
      </c>
      <c r="E6" s="19" t="s">
        <v>34</v>
      </c>
      <c r="F6" s="20"/>
      <c r="G6" s="20"/>
      <c r="H6" s="20"/>
      <c r="I6" s="20"/>
      <c r="J6" s="21"/>
      <c r="K6" s="21"/>
      <c r="L6" s="21"/>
      <c r="M6" s="21"/>
      <c r="N6" s="21"/>
      <c r="O6" s="21"/>
      <c r="P6" s="22"/>
    </row>
    <row r="7" customFormat="false" ht="14.25" hidden="false" customHeight="false" outlineLevel="0" collapsed="false">
      <c r="A7" s="1" t="s">
        <v>14</v>
      </c>
      <c r="B7" s="5" t="n">
        <v>5</v>
      </c>
      <c r="E7" s="23" t="s">
        <v>38</v>
      </c>
      <c r="F7" s="24"/>
      <c r="G7" s="4"/>
      <c r="H7" s="4"/>
      <c r="I7" s="4"/>
      <c r="J7" s="4"/>
      <c r="K7" s="4"/>
      <c r="L7" s="4"/>
      <c r="M7" s="4"/>
      <c r="N7" s="4"/>
      <c r="O7" s="4"/>
      <c r="P7" s="25"/>
    </row>
    <row r="8" customFormat="false" ht="15.75" hidden="false" customHeight="false" outlineLevel="0" collapsed="false">
      <c r="E8" s="26" t="s">
        <v>11</v>
      </c>
      <c r="F8" s="4"/>
      <c r="G8" s="4"/>
      <c r="H8" s="4"/>
      <c r="I8" s="4"/>
      <c r="J8" s="4"/>
      <c r="K8" s="4"/>
      <c r="L8" s="4"/>
      <c r="M8" s="4"/>
      <c r="N8" s="4"/>
      <c r="O8" s="4"/>
      <c r="P8" s="25"/>
    </row>
    <row r="9" customFormat="false" ht="15.75" hidden="false" customHeight="false" outlineLevel="0" collapsed="false">
      <c r="E9" s="26" t="s">
        <v>39</v>
      </c>
      <c r="F9" s="4"/>
      <c r="G9" s="4"/>
      <c r="H9" s="4"/>
      <c r="I9" s="4"/>
      <c r="J9" s="4"/>
      <c r="K9" s="4"/>
      <c r="L9" s="4"/>
      <c r="M9" s="4"/>
      <c r="N9" s="4"/>
      <c r="O9" s="4"/>
      <c r="P9" s="25"/>
    </row>
    <row r="10" customFormat="false" ht="14.25" hidden="false" customHeight="false" outlineLevel="0" collapsed="false">
      <c r="A10" s="0" t="s">
        <v>22</v>
      </c>
      <c r="B10" s="27" t="n">
        <f aca="false">-PV(B6/2,B7*2,B5*B4/2,B4)</f>
        <v>957.348985816121</v>
      </c>
      <c r="E10" s="23" t="s">
        <v>40</v>
      </c>
      <c r="F10" s="24"/>
      <c r="G10" s="24"/>
      <c r="H10" s="24"/>
      <c r="I10" s="24"/>
      <c r="J10" s="4"/>
      <c r="K10" s="4"/>
      <c r="L10" s="4"/>
      <c r="M10" s="4"/>
      <c r="N10" s="4"/>
      <c r="O10" s="4"/>
      <c r="P10" s="25"/>
    </row>
    <row r="11" customFormat="false" ht="14.25" hidden="false" customHeight="false" outlineLevel="0" collapsed="false">
      <c r="E11" s="26" t="s">
        <v>41</v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25"/>
    </row>
    <row r="12" customFormat="false" ht="14.25" hidden="false" customHeight="false" outlineLevel="0" collapsed="false">
      <c r="E12" s="26" t="s">
        <v>42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25"/>
    </row>
    <row r="13" customFormat="false" ht="15.75" hidden="false" customHeight="false" outlineLevel="0" collapsed="false">
      <c r="A13" s="3" t="s">
        <v>15</v>
      </c>
      <c r="E13" s="26" t="s">
        <v>11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25"/>
    </row>
    <row r="14" customFormat="false" ht="15.75" hidden="false" customHeight="false" outlineLevel="0" collapsed="false">
      <c r="E14" s="26" t="s">
        <v>43</v>
      </c>
      <c r="F14" s="4"/>
      <c r="G14" s="4"/>
      <c r="H14" s="4"/>
      <c r="I14" s="4"/>
      <c r="J14" s="4"/>
      <c r="K14" s="4"/>
      <c r="L14" s="4"/>
      <c r="M14" s="4"/>
      <c r="N14" s="4"/>
      <c r="O14" s="4" t="s">
        <v>44</v>
      </c>
      <c r="P14" s="25"/>
    </row>
    <row r="15" customFormat="false" ht="15.75" hidden="false" customHeight="false" outlineLevel="0" collapsed="false">
      <c r="A15" s="0" t="s">
        <v>45</v>
      </c>
      <c r="E15" s="26" t="s">
        <v>46</v>
      </c>
      <c r="F15" s="4"/>
      <c r="G15" s="4"/>
      <c r="H15" s="4"/>
      <c r="I15" s="4"/>
      <c r="J15" s="4"/>
      <c r="K15" s="4"/>
      <c r="L15" s="4"/>
      <c r="M15" s="4"/>
      <c r="N15" s="4"/>
      <c r="O15" s="4" t="s">
        <v>47</v>
      </c>
      <c r="P15" s="25"/>
    </row>
    <row r="16" customFormat="false" ht="14.25" hidden="false" customHeight="false" outlineLevel="0" collapsed="false">
      <c r="A16" s="0" t="s">
        <v>48</v>
      </c>
      <c r="E16" s="23" t="s">
        <v>49</v>
      </c>
      <c r="F16" s="24"/>
      <c r="G16" s="24"/>
      <c r="H16" s="24"/>
      <c r="I16" s="24"/>
      <c r="J16" s="4"/>
      <c r="K16" s="4"/>
      <c r="L16" s="4"/>
      <c r="M16" s="4"/>
      <c r="N16" s="4"/>
      <c r="O16" s="4"/>
      <c r="P16" s="25"/>
    </row>
    <row r="17" customFormat="false" ht="14.25" hidden="false" customHeight="false" outlineLevel="0" collapsed="false">
      <c r="E17" s="26" t="s">
        <v>50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25"/>
    </row>
    <row r="18" customFormat="false" ht="14.25" hidden="false" customHeight="false" outlineLevel="0" collapsed="false">
      <c r="A18" s="0" t="s">
        <v>51</v>
      </c>
      <c r="E18" s="26" t="s">
        <v>52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25"/>
    </row>
    <row r="19" customFormat="false" ht="15.75" hidden="false" customHeight="false" outlineLevel="0" collapsed="false">
      <c r="A19" s="0" t="s">
        <v>53</v>
      </c>
      <c r="E19" s="26" t="s">
        <v>11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25"/>
    </row>
    <row r="20" customFormat="false" ht="15.75" hidden="false" customHeight="false" outlineLevel="0" collapsed="false">
      <c r="E20" s="26" t="s">
        <v>54</v>
      </c>
      <c r="F20" s="4"/>
      <c r="G20" s="4"/>
      <c r="H20" s="4"/>
      <c r="I20" s="4"/>
      <c r="J20" s="4"/>
      <c r="K20" s="4"/>
      <c r="L20" s="4"/>
      <c r="M20" s="4"/>
      <c r="N20" s="4"/>
      <c r="O20" s="4" t="s">
        <v>55</v>
      </c>
      <c r="P20" s="25"/>
    </row>
    <row r="21" customFormat="false" ht="15.75" hidden="false" customHeight="false" outlineLevel="0" collapsed="false">
      <c r="E21" s="28" t="s">
        <v>56</v>
      </c>
      <c r="F21" s="29"/>
      <c r="G21" s="29"/>
      <c r="H21" s="29"/>
      <c r="I21" s="29"/>
      <c r="J21" s="29"/>
      <c r="K21" s="29"/>
      <c r="L21" s="29"/>
      <c r="M21" s="29"/>
      <c r="N21" s="29"/>
      <c r="O21" s="29" t="s">
        <v>57</v>
      </c>
      <c r="P21" s="3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9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J20" activeCellId="0" sqref="J20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21.86"/>
    <col collapsed="false" customWidth="true" hidden="false" outlineLevel="0" max="4" min="4" style="0" width="9.4"/>
    <col collapsed="false" customWidth="true" hidden="false" outlineLevel="0" max="5" min="5" style="0" width="15"/>
    <col collapsed="false" customWidth="true" hidden="false" outlineLevel="0" max="12" min="12" style="0" width="13.53"/>
  </cols>
  <sheetData>
    <row r="1" customFormat="false" ht="14.25" hidden="false" customHeight="false" outlineLevel="0" collapsed="false">
      <c r="A1" s="0" t="s">
        <v>3</v>
      </c>
    </row>
    <row r="2" customFormat="false" ht="14.25" hidden="false" customHeight="false" outlineLevel="0" collapsed="false">
      <c r="E2" s="0" t="s">
        <v>4</v>
      </c>
    </row>
    <row r="3" customFormat="false" ht="14.25" hidden="false" customHeight="false" outlineLevel="0" collapsed="false">
      <c r="A3" s="4" t="s">
        <v>5</v>
      </c>
      <c r="B3" s="4" t="s">
        <v>6</v>
      </c>
    </row>
    <row r="4" customFormat="false" ht="15.75" hidden="false" customHeight="false" outlineLevel="0" collapsed="false">
      <c r="A4" s="1" t="s">
        <v>8</v>
      </c>
      <c r="B4" s="5" t="n">
        <v>1000</v>
      </c>
      <c r="E4" s="0" t="s">
        <v>11</v>
      </c>
    </row>
    <row r="5" customFormat="false" ht="14.25" hidden="false" customHeight="false" outlineLevel="0" collapsed="false">
      <c r="A5" s="1" t="s">
        <v>10</v>
      </c>
      <c r="B5" s="5" t="n">
        <v>0.05</v>
      </c>
      <c r="E5" s="0" t="s">
        <v>58</v>
      </c>
    </row>
    <row r="6" customFormat="false" ht="14.25" hidden="false" customHeight="false" outlineLevel="0" collapsed="false">
      <c r="A6" s="1" t="s">
        <v>12</v>
      </c>
      <c r="B6" s="5" t="n">
        <v>0.06</v>
      </c>
    </row>
    <row r="7" customFormat="false" ht="14.25" hidden="false" customHeight="false" outlineLevel="0" collapsed="false">
      <c r="A7" s="31" t="s">
        <v>14</v>
      </c>
      <c r="B7" s="32" t="n">
        <v>5</v>
      </c>
    </row>
    <row r="8" customFormat="false" ht="14.25" hidden="false" customHeight="false" outlineLevel="0" collapsed="false">
      <c r="A8" s="33" t="s">
        <v>59</v>
      </c>
      <c r="B8" s="34" t="n">
        <v>957.349</v>
      </c>
    </row>
    <row r="9" customFormat="false" ht="14.25" hidden="false" customHeight="false" outlineLevel="0" collapsed="false">
      <c r="A9" s="3" t="s">
        <v>27</v>
      </c>
      <c r="B9" s="0" t="s">
        <v>28</v>
      </c>
      <c r="C9" s="0" t="s">
        <v>29</v>
      </c>
      <c r="E9" s="0" t="s">
        <v>30</v>
      </c>
      <c r="I9" s="15" t="s">
        <v>60</v>
      </c>
      <c r="K9" s="24"/>
      <c r="L9" s="24" t="s">
        <v>61</v>
      </c>
      <c r="M9" s="24"/>
      <c r="N9" s="24"/>
    </row>
    <row r="10" customFormat="false" ht="28.5" hidden="false" customHeight="false" outlineLevel="0" collapsed="false">
      <c r="A10" s="35" t="n">
        <v>0</v>
      </c>
      <c r="B10" s="36"/>
      <c r="C10" s="36"/>
      <c r="E10" s="37" t="n">
        <f aca="false">SUM(C11:C94)</f>
        <v>957.348985816121</v>
      </c>
      <c r="H10" s="10" t="s">
        <v>62</v>
      </c>
      <c r="I10" s="38" t="n">
        <f aca="false">RATE($B$7*2,$B$4*$B$5/2,-$B$8,$B$4)</f>
        <v>0.0299999982942268</v>
      </c>
      <c r="K10" s="4" t="s">
        <v>63</v>
      </c>
      <c r="L10" s="39" t="str">
        <f aca="false">IF(I11=B5, "Priced at Par", IF(I11&lt;B5, "Premium", "Discount"))</f>
        <v>Discount</v>
      </c>
      <c r="M10" s="4"/>
      <c r="N10" s="4"/>
    </row>
    <row r="11" customFormat="false" ht="14.25" hidden="false" customHeight="false" outlineLevel="0" collapsed="false">
      <c r="A11" s="17" t="n">
        <f aca="false">IFERROR(IF($B$7*2&gt;=$A10+1, $A10+1, " "), " ")</f>
        <v>1</v>
      </c>
      <c r="B11" s="17" t="n">
        <f aca="false">IF($B$7*2&gt;$A11, $B$4*$B$5/2, IF($B$7*2=$A11, $B$4+($B$4*$B$5/2), " "))</f>
        <v>25</v>
      </c>
      <c r="C11" s="17" t="n">
        <f aca="false">IF(B11&lt;&gt;" ", B11/(1+$B$6/2)^$A11, " ")</f>
        <v>24.2718446601942</v>
      </c>
      <c r="E11" s="0" t="s">
        <v>6</v>
      </c>
      <c r="H11" s="40" t="s">
        <v>64</v>
      </c>
      <c r="I11" s="41" t="n">
        <f aca="false">I10*2</f>
        <v>0.0599999965884536</v>
      </c>
      <c r="K11" s="4" t="s">
        <v>64</v>
      </c>
      <c r="L11" s="39" t="str">
        <f aca="false">IF(1000=$B$8, "YTM=Coupon", IF(1000&lt;$B$8, "YTM&lt;Coupon", "YTM&gt;Coupon"))</f>
        <v>YTM&gt;Coupon</v>
      </c>
      <c r="M11" s="4"/>
      <c r="N11" s="4"/>
    </row>
    <row r="12" customFormat="false" ht="14.25" hidden="false" customHeight="false" outlineLevel="0" collapsed="false">
      <c r="A12" s="17" t="n">
        <f aca="false">IFERROR(IF($B$7*2&gt;=$A11+1, $A11+1, " "), " ")</f>
        <v>2</v>
      </c>
      <c r="B12" s="17" t="n">
        <f aca="false">IF($B$7*2&gt;$A12, $B$4*$B$5/2, IF($B$7*2=$A12, $B$4+($B$4*$B$5/2), " "))</f>
        <v>25</v>
      </c>
      <c r="C12" s="17" t="n">
        <f aca="false">IF(B12&lt;&gt;" ", B12/(1+$B$6/2)^$A12, " ")</f>
        <v>23.5648977283439</v>
      </c>
      <c r="H12" s="7" t="s">
        <v>6</v>
      </c>
    </row>
    <row r="13" customFormat="false" ht="14.25" hidden="false" customHeight="false" outlineLevel="0" collapsed="false">
      <c r="A13" s="17" t="n">
        <f aca="false">IFERROR(IF($B$7*2&gt;=$A12+1, $A12+1, " "), " ")</f>
        <v>3</v>
      </c>
      <c r="B13" s="17" t="n">
        <f aca="false">IF($B$7*2&gt;$A13, $B$4*$B$5/2, IF($B$7*2=$A13, $B$4+($B$4*$B$5/2), " "))</f>
        <v>25</v>
      </c>
      <c r="C13" s="17" t="n">
        <f aca="false">IF(B13&lt;&gt;" ", B13/(1+$B$6/2)^$A13, " ")</f>
        <v>22.878541483829</v>
      </c>
    </row>
    <row r="14" customFormat="false" ht="14.25" hidden="false" customHeight="false" outlineLevel="0" collapsed="false">
      <c r="A14" s="17" t="n">
        <f aca="false">IFERROR(IF($B$7*2&gt;=$A13+1, $A13+1, " "), " ")</f>
        <v>4</v>
      </c>
      <c r="B14" s="17" t="n">
        <f aca="false">IF($B$7*2&gt;$A14, $B$4*$B$5/2, IF($B$7*2=$A14, $B$4+($B$4*$B$5/2), " "))</f>
        <v>25</v>
      </c>
      <c r="C14" s="17" t="n">
        <f aca="false">IF(B14&lt;&gt;" ", B14/(1+$B$6/2)^$A14, " ")</f>
        <v>22.2121761978922</v>
      </c>
    </row>
    <row r="15" customFormat="false" ht="14.25" hidden="false" customHeight="false" outlineLevel="0" collapsed="false">
      <c r="A15" s="17" t="n">
        <f aca="false">IFERROR(IF($B$7*2&gt;=$A14+1, $A14+1, " "), " ")</f>
        <v>5</v>
      </c>
      <c r="B15" s="17" t="n">
        <f aca="false">IF($B$7*2&gt;$A15, $B$4*$B$5/2, IF($B$7*2=$A15, $B$4+($B$4*$B$5/2), " "))</f>
        <v>25</v>
      </c>
      <c r="C15" s="17" t="n">
        <f aca="false">IF(B15&lt;&gt;" ", B15/(1+$B$6/2)^$A15, " ")</f>
        <v>21.5652196096041</v>
      </c>
    </row>
    <row r="16" customFormat="false" ht="14.25" hidden="false" customHeight="false" outlineLevel="0" collapsed="false">
      <c r="A16" s="17" t="n">
        <f aca="false">IFERROR(IF($B$7*2&gt;=$A15+1, $A15+1, " "), " ")</f>
        <v>6</v>
      </c>
      <c r="B16" s="17" t="n">
        <f aca="false">IF($B$7*2&gt;$A16, $B$4*$B$5/2, IF($B$7*2=$A16, $B$4+($B$4*$B$5/2), " "))</f>
        <v>25</v>
      </c>
      <c r="C16" s="17" t="n">
        <f aca="false">IF(B16&lt;&gt;" ", B16/(1+$B$6/2)^$A16, " ")</f>
        <v>20.9371064170914</v>
      </c>
    </row>
    <row r="17" customFormat="false" ht="14.25" hidden="false" customHeight="false" outlineLevel="0" collapsed="false">
      <c r="A17" s="17" t="n">
        <f aca="false">IFERROR(IF($B$7*2&gt;=$A16+1, $A16+1, " "), " ")</f>
        <v>7</v>
      </c>
      <c r="B17" s="17" t="n">
        <f aca="false">IF($B$7*2&gt;$A17, $B$4*$B$5/2, IF($B$7*2=$A17, $B$4+($B$4*$B$5/2), " "))</f>
        <v>25</v>
      </c>
      <c r="C17" s="17" t="n">
        <f aca="false">IF(B17&lt;&gt;" ", B17/(1+$B$6/2)^$A17, " ")</f>
        <v>20.3272877835838</v>
      </c>
    </row>
    <row r="18" customFormat="false" ht="14.25" hidden="false" customHeight="false" outlineLevel="0" collapsed="false">
      <c r="A18" s="17" t="n">
        <f aca="false">IFERROR(IF($B$7*2&gt;=$A17+1, $A17+1, " "), " ")</f>
        <v>8</v>
      </c>
      <c r="B18" s="17" t="n">
        <f aca="false">IF($B$7*2&gt;$A18, $B$4*$B$5/2, IF($B$7*2=$A18, $B$4+($B$4*$B$5/2), " "))</f>
        <v>25</v>
      </c>
      <c r="C18" s="17" t="n">
        <f aca="false">IF(B18&lt;&gt;" ", B18/(1+$B$6/2)^$A18, " ")</f>
        <v>19.7352308578484</v>
      </c>
    </row>
    <row r="19" customFormat="false" ht="14.25" hidden="false" customHeight="false" outlineLevel="0" collapsed="false">
      <c r="A19" s="17" t="n">
        <f aca="false">IFERROR(IF($B$7*2&gt;=$A18+1, $A18+1, " "), " ")</f>
        <v>9</v>
      </c>
      <c r="B19" s="17" t="n">
        <f aca="false">IF($B$7*2&gt;$A19, $B$4*$B$5/2, IF($B$7*2=$A19, $B$4+($B$4*$B$5/2), " "))</f>
        <v>25</v>
      </c>
      <c r="C19" s="17" t="n">
        <f aca="false">IF(B19&lt;&gt;" ", B19/(1+$B$6/2)^$A19, " ")</f>
        <v>19.1604183085907</v>
      </c>
    </row>
    <row r="20" customFormat="false" ht="14.25" hidden="false" customHeight="false" outlineLevel="0" collapsed="false">
      <c r="A20" s="17" t="n">
        <f aca="false">IFERROR(IF($B$7*2&gt;=$A19+1, $A19+1, " "), " ")</f>
        <v>10</v>
      </c>
      <c r="B20" s="17" t="n">
        <f aca="false">IF($B$7*2&gt;$A20, $B$4*$B$5/2, IF($B$7*2=$A20, $B$4+($B$4*$B$5/2), " "))</f>
        <v>1025</v>
      </c>
      <c r="C20" s="17" t="n">
        <f aca="false">IF(B20&lt;&gt;" ", B20/(1+$B$6/2)^$A20, " ")</f>
        <v>762.696262769143</v>
      </c>
    </row>
    <row r="21" customFormat="false" ht="14.25" hidden="false" customHeight="false" outlineLevel="0" collapsed="false">
      <c r="A21" s="17" t="str">
        <f aca="false">IFERROR(IF($B$7*2&gt;=$A20+1, $A20+1, " "), " ")</f>
        <v> </v>
      </c>
      <c r="B21" s="17" t="str">
        <f aca="false">IF($B$7*2&gt;$A21, $B$4*$B$5/2, IF($B$7*2=$A21, $B$4+($B$4*$B$5/2), " "))</f>
        <v> </v>
      </c>
      <c r="C21" s="17" t="str">
        <f aca="false">IF(B21&lt;&gt;" ", B21/(1+$B$6/2)^$A21, " ")</f>
        <v> </v>
      </c>
    </row>
    <row r="22" customFormat="false" ht="14.25" hidden="false" customHeight="false" outlineLevel="0" collapsed="false">
      <c r="A22" s="17" t="str">
        <f aca="false">IFERROR(IF($B$7*2&gt;=$A21+1, $A21+1, " "), " ")</f>
        <v> </v>
      </c>
      <c r="B22" s="17" t="str">
        <f aca="false">IF($B$7*2&gt;$A22, $B$4*$B$5/2, IF($B$7*2=$A22, $B$4+($B$4*$B$5/2), " "))</f>
        <v> </v>
      </c>
      <c r="C22" s="17" t="str">
        <f aca="false">IF(B22&lt;&gt;" ", B22/(1+$B$6/2)^$A22, " ")</f>
        <v> </v>
      </c>
    </row>
    <row r="23" customFormat="false" ht="14.25" hidden="false" customHeight="false" outlineLevel="0" collapsed="false">
      <c r="A23" s="17" t="str">
        <f aca="false">IFERROR(IF($B$7*2&gt;=$A22+1, $A22+1, " "), " ")</f>
        <v> </v>
      </c>
      <c r="B23" s="17" t="str">
        <f aca="false">IF($B$7*2&gt;$A23, $B$4*$B$5/2, IF($B$7*2=$A23, $B$4+($B$4*$B$5/2), " "))</f>
        <v> </v>
      </c>
      <c r="C23" s="17" t="str">
        <f aca="false">IF(B23&lt;&gt;" ", B23/(1+$B$6/2)^$A23, " ")</f>
        <v> </v>
      </c>
    </row>
    <row r="24" customFormat="false" ht="14.25" hidden="false" customHeight="false" outlineLevel="0" collapsed="false">
      <c r="A24" s="17" t="str">
        <f aca="false">IFERROR(IF($B$7*2&gt;=$A23+1, $A23+1, " "), " ")</f>
        <v> </v>
      </c>
      <c r="B24" s="17" t="str">
        <f aca="false">IF($B$7*2&gt;$A24, $B$4*$B$5/2, IF($B$7*2=$A24, $B$4+($B$4*$B$5/2), " "))</f>
        <v> </v>
      </c>
      <c r="C24" s="17" t="str">
        <f aca="false">IF(B24&lt;&gt;" ", B24/(1+$B$6/2)^$A24, " ")</f>
        <v> </v>
      </c>
    </row>
    <row r="25" customFormat="false" ht="14.25" hidden="false" customHeight="false" outlineLevel="0" collapsed="false">
      <c r="A25" s="17" t="str">
        <f aca="false">IFERROR(IF($B$7*2&gt;=$A24+1, $A24+1, " "), " ")</f>
        <v> </v>
      </c>
      <c r="B25" s="17" t="str">
        <f aca="false">IF($B$7*2&gt;$A25, $B$4*$B$5/2, IF($B$7*2=$A25, $B$4+($B$4*$B$5/2), " "))</f>
        <v> </v>
      </c>
      <c r="C25" s="17" t="str">
        <f aca="false">IF(B25&lt;&gt;" ", B25/(1+$B$6/2)^$A25, " ")</f>
        <v> </v>
      </c>
    </row>
    <row r="26" customFormat="false" ht="14.25" hidden="false" customHeight="false" outlineLevel="0" collapsed="false">
      <c r="A26" s="17" t="str">
        <f aca="false">IFERROR(IF($B$7*2&gt;=$A25+1, $A25+1, " "), " ")</f>
        <v> </v>
      </c>
      <c r="B26" s="17" t="str">
        <f aca="false">IF($B$7*2&gt;$A26, $B$4*$B$5/2, IF($B$7*2=$A26, $B$4+($B$4*$B$5/2), " "))</f>
        <v> </v>
      </c>
      <c r="C26" s="17" t="str">
        <f aca="false">IF(B26&lt;&gt;" ", B26/(1+$B$6/2)^$A26, " ")</f>
        <v> </v>
      </c>
    </row>
    <row r="27" customFormat="false" ht="14.25" hidden="false" customHeight="false" outlineLevel="0" collapsed="false">
      <c r="A27" s="17" t="str">
        <f aca="false">IFERROR(IF($B$7*2&gt;=$A26+1, $A26+1, " "), " ")</f>
        <v> </v>
      </c>
      <c r="B27" s="17" t="str">
        <f aca="false">IF($B$7*2&gt;$A27, $B$4*$B$5/2, IF($B$7*2=$A27, $B$4+($B$4*$B$5/2), " "))</f>
        <v> </v>
      </c>
      <c r="C27" s="17" t="str">
        <f aca="false">IF(B27&lt;&gt;" ", B27/(1+$B$6/2)^$A27, " ")</f>
        <v> </v>
      </c>
    </row>
    <row r="28" customFormat="false" ht="14.25" hidden="false" customHeight="false" outlineLevel="0" collapsed="false">
      <c r="A28" s="17" t="str">
        <f aca="false">IFERROR(IF($B$7*2&gt;=$A27+1, $A27+1, " "), " ")</f>
        <v> </v>
      </c>
      <c r="B28" s="17" t="str">
        <f aca="false">IF($B$7*2&gt;$A28, $B$4*$B$5/2, IF($B$7*2=$A28, $B$4+($B$4*$B$5/2), " "))</f>
        <v> </v>
      </c>
      <c r="C28" s="17" t="str">
        <f aca="false">IF(B28&lt;&gt;" ", B28/(1+$B$6/2)^$A28, " ")</f>
        <v> </v>
      </c>
    </row>
    <row r="29" customFormat="false" ht="14.25" hidden="false" customHeight="false" outlineLevel="0" collapsed="false">
      <c r="A29" s="17" t="str">
        <f aca="false">IFERROR(IF($B$7*2&gt;=$A28+1, $A28+1, " "), " ")</f>
        <v> </v>
      </c>
      <c r="B29" s="17" t="str">
        <f aca="false">IF($B$7*2&gt;$A29, $B$4*$B$5/2, IF($B$7*2=$A29, $B$4+($B$4*$B$5/2), " "))</f>
        <v> </v>
      </c>
      <c r="C29" s="17" t="str">
        <f aca="false">IF(B29&lt;&gt;" ", B29/(1+$B$6/2)^$A29, " ")</f>
        <v> </v>
      </c>
    </row>
    <row r="30" customFormat="false" ht="14.25" hidden="false" customHeight="false" outlineLevel="0" collapsed="false">
      <c r="A30" s="17" t="str">
        <f aca="false">IFERROR(IF($B$7*2&gt;=$A29+1, $A29+1, " "), " ")</f>
        <v> </v>
      </c>
      <c r="B30" s="17" t="str">
        <f aca="false">IF($B$7*2&gt;$A30, $B$4*$B$5/2, IF($B$7*2=$A30, $B$4+($B$4*$B$5/2), " "))</f>
        <v> </v>
      </c>
      <c r="C30" s="17" t="str">
        <f aca="false">IF(B30&lt;&gt;" ", B30/(1+$B$6/2)^$A30, " ")</f>
        <v> </v>
      </c>
    </row>
    <row r="31" customFormat="false" ht="14.25" hidden="false" customHeight="false" outlineLevel="0" collapsed="false">
      <c r="A31" s="17" t="str">
        <f aca="false">IFERROR(IF($B$7*2&gt;=$A30+1, $A30+1, " "), " ")</f>
        <v> </v>
      </c>
      <c r="B31" s="17" t="str">
        <f aca="false">IF($B$7*2&gt;$A31, $B$4*$B$5/2, IF($B$7*2=$A31, $B$4+($B$4*$B$5/2), " "))</f>
        <v> </v>
      </c>
      <c r="C31" s="17" t="str">
        <f aca="false">IF(B31&lt;&gt;" ", B31/(1+$B$6/2)^$A31, " ")</f>
        <v> </v>
      </c>
    </row>
    <row r="32" customFormat="false" ht="14.25" hidden="false" customHeight="false" outlineLevel="0" collapsed="false">
      <c r="A32" s="17" t="str">
        <f aca="false">IFERROR(IF($B$7*2&gt;=$A31+1, $A31+1, " "), " ")</f>
        <v> </v>
      </c>
      <c r="B32" s="17" t="str">
        <f aca="false">IF($B$7*2&gt;$A32, $B$4*$B$5/2, IF($B$7*2=$A32, $B$4+($B$4*$B$5/2), " "))</f>
        <v> </v>
      </c>
      <c r="C32" s="17" t="str">
        <f aca="false">IF(B32&lt;&gt;" ", B32/(1+$B$6/2)^$A32, " ")</f>
        <v> </v>
      </c>
    </row>
    <row r="33" customFormat="false" ht="14.25" hidden="false" customHeight="false" outlineLevel="0" collapsed="false">
      <c r="A33" s="17" t="str">
        <f aca="false">IFERROR(IF($B$7*2&gt;=$A32+1, $A32+1, " "), " ")</f>
        <v> </v>
      </c>
      <c r="B33" s="17" t="str">
        <f aca="false">IF($B$7*2&gt;$A33, $B$4*$B$5/2, IF($B$7*2=$A33, $B$4+($B$4*$B$5/2), " "))</f>
        <v> </v>
      </c>
      <c r="C33" s="17" t="str">
        <f aca="false">IF(B33&lt;&gt;" ", B33/(1+$B$6/2)^$A33, " ")</f>
        <v> </v>
      </c>
    </row>
    <row r="34" customFormat="false" ht="14.25" hidden="false" customHeight="false" outlineLevel="0" collapsed="false">
      <c r="A34" s="17" t="str">
        <f aca="false">IFERROR(IF($B$7*2&gt;=$A33+1, $A33+1, " "), " ")</f>
        <v> </v>
      </c>
      <c r="B34" s="17" t="str">
        <f aca="false">IF($B$7*2&gt;$A34, $B$4*$B$5/2, IF($B$7*2=$A34, $B$4+($B$4*$B$5/2), " "))</f>
        <v> </v>
      </c>
      <c r="C34" s="17" t="str">
        <f aca="false">IF(B34&lt;&gt;" ", B34/(1+$B$6/2)^$A34, " ")</f>
        <v> </v>
      </c>
    </row>
    <row r="35" customFormat="false" ht="14.25" hidden="false" customHeight="false" outlineLevel="0" collapsed="false">
      <c r="A35" s="17" t="str">
        <f aca="false">IFERROR(IF($B$7*2&gt;=$A34+1, $A34+1, " "), " ")</f>
        <v> </v>
      </c>
      <c r="B35" s="17" t="str">
        <f aca="false">IF($B$7*2&gt;$A35, $B$4*$B$5/2, IF($B$7*2=$A35, $B$4+($B$4*$B$5/2), " "))</f>
        <v> </v>
      </c>
      <c r="C35" s="17" t="str">
        <f aca="false">IF(B35&lt;&gt;" ", B35/(1+$B$6/2)^$A35, " ")</f>
        <v> </v>
      </c>
    </row>
    <row r="36" customFormat="false" ht="14.25" hidden="false" customHeight="false" outlineLevel="0" collapsed="false">
      <c r="A36" s="17" t="str">
        <f aca="false">IFERROR(IF($B$7*2&gt;=$A35+1, $A35+1, " "), " ")</f>
        <v> </v>
      </c>
      <c r="B36" s="17" t="str">
        <f aca="false">IF($B$7*2&gt;$A36, $B$4*$B$5/2, IF($B$7*2=$A36, $B$4+($B$4*$B$5/2), " "))</f>
        <v> </v>
      </c>
      <c r="C36" s="17" t="str">
        <f aca="false">IF(B36&lt;&gt;" ", B36/(1+$B$6/2)^$A36, " ")</f>
        <v> </v>
      </c>
    </row>
    <row r="37" customFormat="false" ht="14.25" hidden="false" customHeight="false" outlineLevel="0" collapsed="false">
      <c r="A37" s="17" t="str">
        <f aca="false">IFERROR(IF($B$7*2&gt;=$A36+1, $A36+1, " "), " ")</f>
        <v> </v>
      </c>
      <c r="B37" s="17" t="str">
        <f aca="false">IF($B$7*2&gt;$A37, $B$4*$B$5/2, IF($B$7*2=$A37, $B$4+($B$4*$B$5/2), " "))</f>
        <v> </v>
      </c>
      <c r="C37" s="17" t="str">
        <f aca="false">IF(B37&lt;&gt;" ", B37/(1+$B$6/2)^$A37, " ")</f>
        <v> </v>
      </c>
    </row>
    <row r="38" customFormat="false" ht="14.25" hidden="false" customHeight="false" outlineLevel="0" collapsed="false">
      <c r="A38" s="17" t="str">
        <f aca="false">IFERROR(IF($B$7*2&gt;=$A37+1, $A37+1, " "), " ")</f>
        <v> </v>
      </c>
      <c r="B38" s="17" t="str">
        <f aca="false">IF($B$7*2&gt;$A38, $B$4*$B$5/2, IF($B$7*2=$A38, $B$4+($B$4*$B$5/2), " "))</f>
        <v> </v>
      </c>
      <c r="C38" s="17" t="str">
        <f aca="false">IF(B38&lt;&gt;" ", B38/(1+$B$6/2)^$A38, " ")</f>
        <v> </v>
      </c>
    </row>
    <row r="39" customFormat="false" ht="14.25" hidden="false" customHeight="false" outlineLevel="0" collapsed="false">
      <c r="A39" s="17" t="str">
        <f aca="false">IFERROR(IF($B$7*2&gt;=$A38+1, $A38+1, " "), " ")</f>
        <v> </v>
      </c>
      <c r="B39" s="17" t="str">
        <f aca="false">IF($B$7*2&gt;$A39, $B$4*$B$5/2, IF($B$7*2=$A39, $B$4+($B$4*$B$5/2), " "))</f>
        <v> </v>
      </c>
      <c r="C39" s="17" t="str">
        <f aca="false">IF(B39&lt;&gt;" ", B39/(1+$B$6/2)^$A39, " ")</f>
        <v> </v>
      </c>
    </row>
    <row r="40" customFormat="false" ht="14.25" hidden="false" customHeight="false" outlineLevel="0" collapsed="false">
      <c r="A40" s="17" t="str">
        <f aca="false">IFERROR(IF($B$7*2&gt;=$A39+1, $A39+1, " "), " ")</f>
        <v> </v>
      </c>
      <c r="B40" s="17" t="str">
        <f aca="false">IF($B$7*2&gt;$A40, $B$4*$B$5/2, IF($B$7*2=$A40, $B$4+($B$4*$B$5/2), " "))</f>
        <v> </v>
      </c>
      <c r="C40" s="17" t="str">
        <f aca="false">IF(B40&lt;&gt;" ", B40/(1+$B$6/2)^$A40, " ")</f>
        <v> </v>
      </c>
    </row>
    <row r="41" customFormat="false" ht="14.25" hidden="false" customHeight="false" outlineLevel="0" collapsed="false">
      <c r="A41" s="17" t="str">
        <f aca="false">IFERROR(IF($B$7*2&gt;=$A40+1, $A40+1, " "), " ")</f>
        <v> </v>
      </c>
      <c r="B41" s="17" t="str">
        <f aca="false">IF($B$7*2&gt;$A41, $B$4*$B$5/2, IF($B$7*2=$A41, $B$4+($B$4*$B$5/2), " "))</f>
        <v> </v>
      </c>
      <c r="C41" s="17" t="str">
        <f aca="false">IF(B41&lt;&gt;" ", B41/(1+$B$6/2)^$A41, " ")</f>
        <v> </v>
      </c>
    </row>
    <row r="42" customFormat="false" ht="14.25" hidden="false" customHeight="false" outlineLevel="0" collapsed="false">
      <c r="A42" s="17" t="str">
        <f aca="false">IFERROR(IF($B$7*2&gt;=$A41+1, $A41+1, " "), " ")</f>
        <v> </v>
      </c>
      <c r="B42" s="17" t="str">
        <f aca="false">IF($B$7*2&gt;$A42, $B$4*$B$5/2, IF($B$7*2=$A42, $B$4+($B$4*$B$5/2), " "))</f>
        <v> </v>
      </c>
      <c r="C42" s="17" t="str">
        <f aca="false">IF(B42&lt;&gt;" ", B42/(1+$B$6/2)^$A42, " ")</f>
        <v> </v>
      </c>
    </row>
    <row r="43" customFormat="false" ht="14.25" hidden="false" customHeight="false" outlineLevel="0" collapsed="false">
      <c r="A43" s="17" t="str">
        <f aca="false">IFERROR(IF($B$7*2&gt;=$A42+1, $A42+1, " "), " ")</f>
        <v> </v>
      </c>
      <c r="B43" s="17" t="str">
        <f aca="false">IF($B$7*2&gt;$A43, $B$4*$B$5/2, IF($B$7*2=$A43, $B$4+($B$4*$B$5/2), " "))</f>
        <v> </v>
      </c>
      <c r="C43" s="17" t="str">
        <f aca="false">IF(B43&lt;&gt;" ", B43/(1+$B$6/2)^$A43, " ")</f>
        <v> </v>
      </c>
    </row>
    <row r="44" customFormat="false" ht="14.25" hidden="false" customHeight="false" outlineLevel="0" collapsed="false">
      <c r="A44" s="17" t="str">
        <f aca="false">IFERROR(IF($B$7*2&gt;=$A43+1, $A43+1, " "), " ")</f>
        <v> </v>
      </c>
      <c r="B44" s="17" t="str">
        <f aca="false">IF($B$7*2&gt;$A44, $B$4*$B$5/2, IF($B$7*2=$A44, $B$4+($B$4*$B$5/2), " "))</f>
        <v> </v>
      </c>
      <c r="C44" s="17" t="str">
        <f aca="false">IF(B44&lt;&gt;" ", B44/(1+$B$6/2)^$A44, " ")</f>
        <v> </v>
      </c>
    </row>
    <row r="45" customFormat="false" ht="14.25" hidden="false" customHeight="false" outlineLevel="0" collapsed="false">
      <c r="A45" s="17" t="str">
        <f aca="false">IFERROR(IF($B$7*2&gt;=$A44+1, $A44+1, " "), " ")</f>
        <v> </v>
      </c>
      <c r="B45" s="17" t="str">
        <f aca="false">IF($B$7*2&gt;$A45, $B$4*$B$5/2, IF($B$7*2=$A45, $B$4+($B$4*$B$5/2), " "))</f>
        <v> </v>
      </c>
      <c r="C45" s="17" t="str">
        <f aca="false">IF(B45&lt;&gt;" ", B45/(1+$B$6/2)^$A45, " ")</f>
        <v> </v>
      </c>
    </row>
    <row r="46" customFormat="false" ht="14.25" hidden="false" customHeight="false" outlineLevel="0" collapsed="false">
      <c r="A46" s="17" t="str">
        <f aca="false">IFERROR(IF($B$7*2&gt;=$A45+1, $A45+1, " "), " ")</f>
        <v> </v>
      </c>
      <c r="B46" s="17" t="str">
        <f aca="false">IF($B$7*2&gt;$A46, $B$4*$B$5/2, IF($B$7*2=$A46, $B$4+($B$4*$B$5/2), " "))</f>
        <v> </v>
      </c>
      <c r="C46" s="17" t="str">
        <f aca="false">IF(B46&lt;&gt;" ", B46/(1+$B$6/2)^$A46, " ")</f>
        <v> </v>
      </c>
    </row>
    <row r="47" customFormat="false" ht="14.25" hidden="false" customHeight="false" outlineLevel="0" collapsed="false">
      <c r="A47" s="17" t="str">
        <f aca="false">IFERROR(IF($B$7*2&gt;=$A46+1, $A46+1, " "), " ")</f>
        <v> </v>
      </c>
      <c r="B47" s="17" t="str">
        <f aca="false">IF($B$7*2&gt;$A47, $B$4*$B$5/2, IF($B$7*2=$A47, $B$4+($B$4*$B$5/2), " "))</f>
        <v> </v>
      </c>
      <c r="C47" s="17" t="str">
        <f aca="false">IF(B47&lt;&gt;" ", B47/(1+$B$6/2)^$A47, " ")</f>
        <v> </v>
      </c>
    </row>
    <row r="48" customFormat="false" ht="14.25" hidden="false" customHeight="false" outlineLevel="0" collapsed="false">
      <c r="A48" s="17" t="str">
        <f aca="false">IFERROR(IF($B$7*2&gt;=$A47+1, $A47+1, " "), " ")</f>
        <v> </v>
      </c>
      <c r="B48" s="17" t="str">
        <f aca="false">IF($B$7*2&gt;$A48, $B$4*$B$5/2, IF($B$7*2=$A48, $B$4+($B$4*$B$5/2), " "))</f>
        <v> </v>
      </c>
      <c r="C48" s="17" t="str">
        <f aca="false">IF(B48&lt;&gt;" ", B48/(1+$B$6/2)^$A48, " ")</f>
        <v> </v>
      </c>
    </row>
    <row r="49" customFormat="false" ht="14.25" hidden="false" customHeight="false" outlineLevel="0" collapsed="false">
      <c r="A49" s="17" t="str">
        <f aca="false">IFERROR(IF($B$7*2&gt;=$A48+1, $A48+1, " "), " ")</f>
        <v> </v>
      </c>
      <c r="B49" s="17" t="str">
        <f aca="false">IF($B$7*2&gt;$A49, $B$4*$B$5/2, IF($B$7*2=$A49, $B$4+($B$4*$B$5/2), " "))</f>
        <v> </v>
      </c>
      <c r="C49" s="17" t="str">
        <f aca="false">IF(B49&lt;&gt;" ", B49/(1+$B$6/2)^$A49, " ")</f>
        <v> </v>
      </c>
    </row>
    <row r="50" customFormat="false" ht="14.25" hidden="false" customHeight="false" outlineLevel="0" collapsed="false">
      <c r="A50" s="17" t="str">
        <f aca="false">IFERROR(IF($B$7*2&gt;=$A49+1, $A49+1, " "), " ")</f>
        <v> </v>
      </c>
      <c r="B50" s="17" t="str">
        <f aca="false">IF($B$7*2&gt;$A50, $B$4*$B$5/2, IF($B$7*2=$A50, $B$4+($B$4*$B$5/2), " "))</f>
        <v> </v>
      </c>
      <c r="C50" s="17" t="str">
        <f aca="false">IF(B50&lt;&gt;" ", B50/(1+$B$6/2)^$A50, " ")</f>
        <v> </v>
      </c>
    </row>
    <row r="51" customFormat="false" ht="14.25" hidden="false" customHeight="false" outlineLevel="0" collapsed="false">
      <c r="A51" s="17" t="str">
        <f aca="false">IFERROR(IF($B$7*2&gt;=$A50+1, $A50+1, " "), " ")</f>
        <v> </v>
      </c>
      <c r="B51" s="17" t="str">
        <f aca="false">IF($B$7*2&gt;$A51, $B$4*$B$5/2, IF($B$7*2=$A51, $B$4+($B$4*$B$5/2), " "))</f>
        <v> </v>
      </c>
      <c r="C51" s="17" t="str">
        <f aca="false">IF(B51&lt;&gt;" ", B51/(1+$B$6/2)^$A51, " ")</f>
        <v> </v>
      </c>
    </row>
    <row r="52" customFormat="false" ht="14.25" hidden="false" customHeight="false" outlineLevel="0" collapsed="false">
      <c r="A52" s="17" t="str">
        <f aca="false">IFERROR(IF($B$7*2&gt;=$A51+1, $A51+1, " "), " ")</f>
        <v> </v>
      </c>
      <c r="B52" s="17" t="str">
        <f aca="false">IF($B$7*2&gt;$A52, $B$4*$B$5/2, IF($B$7*2=$A52, $B$4+($B$4*$B$5/2), " "))</f>
        <v> </v>
      </c>
      <c r="C52" s="17" t="str">
        <f aca="false">IF(B52&lt;&gt;" ", B52/(1+$B$6/2)^$A52, " ")</f>
        <v> </v>
      </c>
    </row>
    <row r="53" customFormat="false" ht="14.25" hidden="false" customHeight="false" outlineLevel="0" collapsed="false">
      <c r="A53" s="17" t="str">
        <f aca="false">IFERROR(IF($B$7*2&gt;=$A52+1, $A52+1, " "), " ")</f>
        <v> </v>
      </c>
      <c r="B53" s="17" t="str">
        <f aca="false">IF($B$7*2&gt;$A53, $B$4*$B$5/2, IF($B$7*2=$A53, $B$4+($B$4*$B$5/2), " "))</f>
        <v> </v>
      </c>
      <c r="C53" s="17" t="str">
        <f aca="false">IF(B53&lt;&gt;" ", B53/(1+$B$6/2)^$A53, " ")</f>
        <v> </v>
      </c>
    </row>
    <row r="54" customFormat="false" ht="14.25" hidden="false" customHeight="false" outlineLevel="0" collapsed="false">
      <c r="A54" s="17" t="str">
        <f aca="false">IFERROR(IF($B$7*2&gt;=$A53+1, $A53+1, " "), " ")</f>
        <v> </v>
      </c>
      <c r="B54" s="17" t="str">
        <f aca="false">IF($B$7*2&gt;$A54, $B$4*$B$5/2, IF($B$7*2=$A54, $B$4+($B$4*$B$5/2), " "))</f>
        <v> </v>
      </c>
      <c r="C54" s="17" t="str">
        <f aca="false">IF(B54&lt;&gt;" ", B54/(1+$B$6/2)^$A54, " ")</f>
        <v> </v>
      </c>
    </row>
    <row r="55" customFormat="false" ht="14.25" hidden="false" customHeight="false" outlineLevel="0" collapsed="false">
      <c r="A55" s="17" t="str">
        <f aca="false">IFERROR(IF($B$7*2&gt;=$A54+1, $A54+1, " "), " ")</f>
        <v> </v>
      </c>
      <c r="B55" s="17" t="str">
        <f aca="false">IF($B$7*2&gt;$A55, $B$4*$B$5/2, IF($B$7*2=$A55, $B$4+($B$4*$B$5/2), " "))</f>
        <v> </v>
      </c>
      <c r="C55" s="17" t="str">
        <f aca="false">IF(B55&lt;&gt;" ", B55/(1+$B$6/2)^$A55, " ")</f>
        <v> </v>
      </c>
    </row>
    <row r="56" customFormat="false" ht="14.25" hidden="false" customHeight="false" outlineLevel="0" collapsed="false">
      <c r="A56" s="17" t="str">
        <f aca="false">IFERROR(IF($B$7*2&gt;=$A55+1, $A55+1, " "), " ")</f>
        <v> </v>
      </c>
      <c r="B56" s="17" t="str">
        <f aca="false">IF($B$7*2&gt;$A56, $B$4*$B$5/2, IF($B$7*2=$A56, $B$4+($B$4*$B$5/2), " "))</f>
        <v> </v>
      </c>
      <c r="C56" s="17" t="str">
        <f aca="false">IF(B56&lt;&gt;" ", B56/(1+$B$6/2)^$A56, " ")</f>
        <v> </v>
      </c>
    </row>
    <row r="57" customFormat="false" ht="14.25" hidden="false" customHeight="false" outlineLevel="0" collapsed="false">
      <c r="A57" s="17" t="str">
        <f aca="false">IFERROR(IF($B$7*2&gt;=$A56+1, $A56+1, " "), " ")</f>
        <v> </v>
      </c>
      <c r="B57" s="17" t="str">
        <f aca="false">IF($B$7*2&gt;$A57, $B$4*$B$5/2, IF($B$7*2=$A57, $B$4+($B$4*$B$5/2), " "))</f>
        <v> </v>
      </c>
      <c r="C57" s="17" t="str">
        <f aca="false">IF(B57&lt;&gt;" ", B57/(1+$B$6/2)^$A57, " ")</f>
        <v> </v>
      </c>
    </row>
    <row r="58" customFormat="false" ht="14.25" hidden="false" customHeight="false" outlineLevel="0" collapsed="false">
      <c r="A58" s="17" t="str">
        <f aca="false">IFERROR(IF($B$7*2&gt;=$A57+1, $A57+1, " "), " ")</f>
        <v> </v>
      </c>
      <c r="B58" s="17" t="str">
        <f aca="false">IF($B$7*2&gt;$A58, $B$4*$B$5/2, IF($B$7*2=$A58, $B$4+($B$4*$B$5/2), " "))</f>
        <v> </v>
      </c>
      <c r="C58" s="17" t="str">
        <f aca="false">IF(B58&lt;&gt;" ", B58/(1+$B$6/2)^$A58, " ")</f>
        <v> </v>
      </c>
    </row>
    <row r="59" customFormat="false" ht="14.25" hidden="false" customHeight="false" outlineLevel="0" collapsed="false">
      <c r="A59" s="17" t="str">
        <f aca="false">IFERROR(IF($B$7*2&gt;=$A58+1, $A58+1, " "), " ")</f>
        <v> </v>
      </c>
      <c r="B59" s="17" t="str">
        <f aca="false">IF($B$7*2&gt;$A59, $B$4*$B$5/2, IF($B$7*2=$A59, $B$4+($B$4*$B$5/2), " "))</f>
        <v> </v>
      </c>
      <c r="C59" s="17" t="str">
        <f aca="false">IF(B59&lt;&gt;" ", B59/(1+$B$6/2)^$A59, " ")</f>
        <v> </v>
      </c>
    </row>
    <row r="60" customFormat="false" ht="14.25" hidden="false" customHeight="false" outlineLevel="0" collapsed="false">
      <c r="A60" s="17" t="str">
        <f aca="false">IFERROR(IF($B$7*2&gt;=$A59+1, $A59+1, " "), " ")</f>
        <v> </v>
      </c>
      <c r="B60" s="17" t="str">
        <f aca="false">IF($B$7*2&gt;$A60, $B$4*$B$5/2, IF($B$7*2=$A60, $B$4+($B$4*$B$5/2), " "))</f>
        <v> </v>
      </c>
      <c r="C60" s="17" t="str">
        <f aca="false">IF(B60&lt;&gt;" ", B60/(1+$B$6/2)^$A60, " ")</f>
        <v> </v>
      </c>
    </row>
    <row r="61" customFormat="false" ht="14.25" hidden="false" customHeight="false" outlineLevel="0" collapsed="false">
      <c r="A61" s="17" t="str">
        <f aca="false">IFERROR(IF($B$7*2&gt;=$A60+1, $A60+1, " "), " ")</f>
        <v> </v>
      </c>
      <c r="B61" s="17" t="str">
        <f aca="false">IF($B$7*2&gt;$A61, $B$4*$B$5/2, IF($B$7*2=$A61, $B$4+($B$4*$B$5/2), " "))</f>
        <v> </v>
      </c>
      <c r="C61" s="17" t="str">
        <f aca="false">IF(B61&lt;&gt;" ", B61/(1+$B$6/2)^$A61, " ")</f>
        <v> </v>
      </c>
    </row>
    <row r="62" customFormat="false" ht="14.25" hidden="false" customHeight="false" outlineLevel="0" collapsed="false">
      <c r="A62" s="17" t="str">
        <f aca="false">IFERROR(IF($B$7*2&gt;=$A61+1, $A61+1, " "), " ")</f>
        <v> </v>
      </c>
      <c r="B62" s="17" t="str">
        <f aca="false">IF($B$7*2&gt;$A62, $B$4*$B$5/2, IF($B$7*2=$A62, $B$4+($B$4*$B$5/2), " "))</f>
        <v> </v>
      </c>
      <c r="C62" s="17" t="str">
        <f aca="false">IF(B62&lt;&gt;" ", B62/(1+$B$6/2)^$A62, " ")</f>
        <v> </v>
      </c>
    </row>
    <row r="63" customFormat="false" ht="14.25" hidden="false" customHeight="false" outlineLevel="0" collapsed="false">
      <c r="A63" s="17" t="str">
        <f aca="false">IFERROR(IF($B$7*2&gt;=$A62+1, $A62+1, " "), " ")</f>
        <v> </v>
      </c>
      <c r="B63" s="17" t="str">
        <f aca="false">IF($B$7*2&gt;$A63, $B$4*$B$5/2, IF($B$7*2=$A63, $B$4+($B$4*$B$5/2), " "))</f>
        <v> </v>
      </c>
      <c r="C63" s="17" t="str">
        <f aca="false">IF(B63&lt;&gt;" ", B63/(1+$B$6/2)^$A63, " ")</f>
        <v> </v>
      </c>
    </row>
    <row r="64" customFormat="false" ht="14.25" hidden="false" customHeight="false" outlineLevel="0" collapsed="false">
      <c r="A64" s="17" t="str">
        <f aca="false">IFERROR(IF($B$7*2&gt;=$A63+1, $A63+1, " "), " ")</f>
        <v> </v>
      </c>
      <c r="B64" s="17" t="str">
        <f aca="false">IF($B$7*2&gt;$A64, $B$4*$B$5/2, IF($B$7*2=$A64, $B$4+($B$4*$B$5/2), " "))</f>
        <v> </v>
      </c>
      <c r="C64" s="17" t="str">
        <f aca="false">IF(B64&lt;&gt;" ", B64/(1+$B$6/2)^$A64, " ")</f>
        <v> </v>
      </c>
    </row>
    <row r="65" customFormat="false" ht="14.25" hidden="false" customHeight="false" outlineLevel="0" collapsed="false">
      <c r="A65" s="17" t="str">
        <f aca="false">IFERROR(IF($B$7*2&gt;=$A64+1, $A64+1, " "), " ")</f>
        <v> </v>
      </c>
      <c r="B65" s="17" t="str">
        <f aca="false">IF($B$7*2&gt;$A65, $B$4*$B$5/2, IF($B$7*2=$A65, $B$4+($B$4*$B$5/2), " "))</f>
        <v> </v>
      </c>
      <c r="C65" s="17" t="str">
        <f aca="false">IF(B65&lt;&gt;" ", B65/(1+$B$6/2)^$A65, " ")</f>
        <v> </v>
      </c>
    </row>
    <row r="66" customFormat="false" ht="14.25" hidden="false" customHeight="false" outlineLevel="0" collapsed="false">
      <c r="A66" s="17" t="str">
        <f aca="false">IFERROR(IF($B$7*2&gt;=$A65+1, $A65+1, " "), " ")</f>
        <v> </v>
      </c>
      <c r="B66" s="17" t="str">
        <f aca="false">IF($B$7*2&gt;$A66, $B$4*$B$5/2, IF($B$7*2=$A66, $B$4+($B$4*$B$5/2), " "))</f>
        <v> </v>
      </c>
      <c r="C66" s="17" t="str">
        <f aca="false">IF(B66&lt;&gt;" ", B66/(1+$B$6/2)^$A66, " ")</f>
        <v> </v>
      </c>
    </row>
    <row r="67" customFormat="false" ht="14.25" hidden="false" customHeight="false" outlineLevel="0" collapsed="false">
      <c r="A67" s="17" t="str">
        <f aca="false">IFERROR(IF($B$7*2&gt;=$A66+1, $A66+1, " "), " ")</f>
        <v> </v>
      </c>
      <c r="B67" s="17" t="str">
        <f aca="false">IF($B$7*2&gt;$A67, $B$4*$B$5/2, IF($B$7*2=$A67, $B$4+($B$4*$B$5/2), " "))</f>
        <v> </v>
      </c>
      <c r="C67" s="17" t="str">
        <f aca="false">IF(B67&lt;&gt;" ", B67/(1+$B$6/2)^$A67, " ")</f>
        <v> </v>
      </c>
    </row>
    <row r="68" customFormat="false" ht="14.25" hidden="false" customHeight="false" outlineLevel="0" collapsed="false">
      <c r="A68" s="17" t="str">
        <f aca="false">IFERROR(IF($B$7*2&gt;=$A67+1, $A67+1, " "), " ")</f>
        <v> </v>
      </c>
      <c r="B68" s="17" t="str">
        <f aca="false">IF($B$7*2&gt;$A68, $B$4*$B$5/2, IF($B$7*2=$A68, $B$4+($B$4*$B$5/2), " "))</f>
        <v> </v>
      </c>
      <c r="C68" s="17" t="str">
        <f aca="false">IF(B68&lt;&gt;" ", B68/(1+$B$6/2)^$A68, " ")</f>
        <v> </v>
      </c>
    </row>
    <row r="69" customFormat="false" ht="14.25" hidden="false" customHeight="false" outlineLevel="0" collapsed="false">
      <c r="A69" s="17" t="str">
        <f aca="false">IFERROR(IF($B$7*2&gt;=$A68+1, $A68+1, " "), " ")</f>
        <v> </v>
      </c>
      <c r="B69" s="17" t="str">
        <f aca="false">IF($B$7*2&gt;$A69, $B$4*$B$5/2, IF($B$7*2=$A69, $B$4+($B$4*$B$5/2), " "))</f>
        <v> </v>
      </c>
      <c r="C69" s="17" t="str">
        <f aca="false">IF(B69&lt;&gt;" ", B69/(1+$B$6/2)^$A69, " ")</f>
        <v> </v>
      </c>
    </row>
    <row r="70" customFormat="false" ht="14.25" hidden="false" customHeight="false" outlineLevel="0" collapsed="false">
      <c r="A70" s="17" t="str">
        <f aca="false">IFERROR(IF($B$7*2&gt;=$A69+1, $A69+1, " "), " ")</f>
        <v> </v>
      </c>
      <c r="B70" s="17" t="str">
        <f aca="false">IF($B$7*2&gt;$A70, $B$4*$B$5/2, IF($B$7*2=$A70, $B$4+($B$4*$B$5/2), " "))</f>
        <v> </v>
      </c>
      <c r="C70" s="17" t="str">
        <f aca="false">IF(B70&lt;&gt;" ", B70/(1+$B$6/2)^$A70, " ")</f>
        <v> </v>
      </c>
    </row>
    <row r="71" customFormat="false" ht="14.25" hidden="false" customHeight="false" outlineLevel="0" collapsed="false">
      <c r="A71" s="17" t="str">
        <f aca="false">IFERROR(IF($B$7*2&gt;=$A70+1, $A70+1, " "), " ")</f>
        <v> </v>
      </c>
      <c r="B71" s="17" t="str">
        <f aca="false">IF($B$7*2&gt;$A71, $B$4*$B$5/2, IF($B$7*2=$A71, $B$4+($B$4*$B$5/2), " "))</f>
        <v> </v>
      </c>
      <c r="C71" s="17" t="str">
        <f aca="false">IF(B71&lt;&gt;" ", B71/(1+$B$6/2)^$A71, " ")</f>
        <v> </v>
      </c>
    </row>
    <row r="72" customFormat="false" ht="14.25" hidden="false" customHeight="false" outlineLevel="0" collapsed="false">
      <c r="A72" s="17" t="str">
        <f aca="false">IFERROR(IF($B$7*2&gt;=$A71+1, $A71+1, " "), " ")</f>
        <v> </v>
      </c>
      <c r="B72" s="17" t="str">
        <f aca="false">IF($B$7*2&gt;$A72, $B$4*$B$5/2, IF($B$7*2=$A72, $B$4+($B$4*$B$5/2), " "))</f>
        <v> </v>
      </c>
      <c r="C72" s="17" t="str">
        <f aca="false">IF(B72&lt;&gt;" ", B72/(1+$B$6/2)^$A72, " ")</f>
        <v> </v>
      </c>
    </row>
    <row r="73" customFormat="false" ht="14.25" hidden="false" customHeight="false" outlineLevel="0" collapsed="false">
      <c r="A73" s="17" t="str">
        <f aca="false">IFERROR(IF($B$7*2&gt;=$A72+1, $A72+1, " "), " ")</f>
        <v> </v>
      </c>
      <c r="B73" s="17" t="str">
        <f aca="false">IF($B$7*2&gt;$A73, $B$4*$B$5/2, IF($B$7*2=$A73, $B$4+($B$4*$B$5/2), " "))</f>
        <v> </v>
      </c>
      <c r="C73" s="17" t="str">
        <f aca="false">IF(B73&lt;&gt;" ", B73/(1+$B$6/2)^$A73, " ")</f>
        <v> </v>
      </c>
    </row>
    <row r="74" customFormat="false" ht="14.25" hidden="false" customHeight="false" outlineLevel="0" collapsed="false">
      <c r="A74" s="17" t="str">
        <f aca="false">IFERROR(IF($B$7*2&gt;=$A73+1, $A73+1, " "), " ")</f>
        <v> </v>
      </c>
      <c r="B74" s="17" t="str">
        <f aca="false">IF($B$7*2&gt;$A74, $B$4*$B$5/2, IF($B$7*2=$A74, $B$4+($B$4*$B$5/2), " "))</f>
        <v> </v>
      </c>
      <c r="C74" s="17" t="str">
        <f aca="false">IF(B74&lt;&gt;" ", B74/(1+$B$6/2)^$A74, " ")</f>
        <v> </v>
      </c>
    </row>
    <row r="75" customFormat="false" ht="14.25" hidden="false" customHeight="false" outlineLevel="0" collapsed="false">
      <c r="A75" s="17" t="str">
        <f aca="false">IFERROR(IF($B$7*2&gt;=$A74+1, $A74+1, " "), " ")</f>
        <v> </v>
      </c>
      <c r="B75" s="17" t="str">
        <f aca="false">IF($B$7*2&gt;$A75, $B$4*$B$5/2, IF($B$7*2=$A75, $B$4+($B$4*$B$5/2), " "))</f>
        <v> </v>
      </c>
      <c r="C75" s="17" t="str">
        <f aca="false">IF(B75&lt;&gt;" ", B75/(1+$B$6/2)^$A75, " ")</f>
        <v> </v>
      </c>
    </row>
    <row r="76" customFormat="false" ht="14.25" hidden="false" customHeight="false" outlineLevel="0" collapsed="false">
      <c r="A76" s="17" t="str">
        <f aca="false">IFERROR(IF($B$7*2&gt;=$A75+1, $A75+1, " "), " ")</f>
        <v> </v>
      </c>
      <c r="B76" s="17" t="str">
        <f aca="false">IF($B$7*2&gt;$A76, $B$4*$B$5/2, IF($B$7*2=$A76, $B$4+($B$4*$B$5/2), " "))</f>
        <v> </v>
      </c>
      <c r="C76" s="17" t="str">
        <f aca="false">IF(B76&lt;&gt;" ", B76/(1+$B$6/2)^$A76, " ")</f>
        <v> </v>
      </c>
    </row>
    <row r="77" customFormat="false" ht="14.25" hidden="false" customHeight="false" outlineLevel="0" collapsed="false">
      <c r="A77" s="17" t="str">
        <f aca="false">IFERROR(IF($B$7*2&gt;=$A76+1, $A76+1, " "), " ")</f>
        <v> </v>
      </c>
      <c r="B77" s="17" t="str">
        <f aca="false">IF($B$7*2&gt;$A77, $B$4*$B$5/2, IF($B$7*2=$A77, $B$4+($B$4*$B$5/2), " "))</f>
        <v> </v>
      </c>
      <c r="C77" s="17" t="str">
        <f aca="false">IF(B77&lt;&gt;" ", B77/(1+$B$6/2)^$A77, " ")</f>
        <v> </v>
      </c>
    </row>
    <row r="78" customFormat="false" ht="14.25" hidden="false" customHeight="false" outlineLevel="0" collapsed="false">
      <c r="A78" s="17" t="str">
        <f aca="false">IFERROR(IF($B$7*2&gt;=$A77+1, $A77+1, " "), " ")</f>
        <v> </v>
      </c>
      <c r="B78" s="17" t="str">
        <f aca="false">IF($B$7*2&gt;$A78, $B$4*$B$5/2, IF($B$7*2=$A78, $B$4+($B$4*$B$5/2), " "))</f>
        <v> </v>
      </c>
      <c r="C78" s="17" t="str">
        <f aca="false">IF(B78&lt;&gt;" ", B78/(1+$B$6/2)^$A78, " ")</f>
        <v> </v>
      </c>
    </row>
    <row r="79" customFormat="false" ht="14.25" hidden="false" customHeight="false" outlineLevel="0" collapsed="false">
      <c r="A79" s="17" t="str">
        <f aca="false">IFERROR(IF($B$7*2&gt;=$A78+1, $A78+1, " "), " ")</f>
        <v> </v>
      </c>
      <c r="B79" s="17" t="str">
        <f aca="false">IF($B$7*2&gt;$A79, $B$4*$B$5/2, IF($B$7*2=$A79, $B$4+($B$4*$B$5/2), " "))</f>
        <v> </v>
      </c>
      <c r="C79" s="17" t="str">
        <f aca="false">IF(B79&lt;&gt;" ", B79/(1+$B$6/2)^$A79, " ")</f>
        <v> </v>
      </c>
    </row>
    <row r="80" customFormat="false" ht="14.25" hidden="false" customHeight="false" outlineLevel="0" collapsed="false">
      <c r="A80" s="17" t="str">
        <f aca="false">IFERROR(IF($B$7*2&gt;=$A79+1, $A79+1, " "), " ")</f>
        <v> </v>
      </c>
      <c r="B80" s="17" t="str">
        <f aca="false">IF($B$7*2&gt;$A80, $B$4*$B$5/2, IF($B$7*2=$A80, $B$4+($B$4*$B$5/2), " "))</f>
        <v> </v>
      </c>
      <c r="C80" s="17" t="str">
        <f aca="false">IF(B80&lt;&gt;" ", B80/(1+$B$6/2)^$A80, " ")</f>
        <v> </v>
      </c>
    </row>
    <row r="81" customFormat="false" ht="14.25" hidden="false" customHeight="false" outlineLevel="0" collapsed="false">
      <c r="A81" s="17" t="str">
        <f aca="false">IFERROR(IF($B$7*2&gt;=$A80+1, $A80+1, " "), " ")</f>
        <v> </v>
      </c>
      <c r="B81" s="17" t="str">
        <f aca="false">IF($B$7*2&gt;$A81, $B$4*$B$5/2, IF($B$7*2=$A81, $B$4+($B$4*$B$5/2), " "))</f>
        <v> </v>
      </c>
      <c r="C81" s="17" t="str">
        <f aca="false">IF(B81&lt;&gt;" ", B81/(1+$B$6/2)^$A81, " ")</f>
        <v> </v>
      </c>
    </row>
    <row r="82" customFormat="false" ht="14.25" hidden="false" customHeight="false" outlineLevel="0" collapsed="false">
      <c r="A82" s="17" t="str">
        <f aca="false">IFERROR(IF($B$7*2&gt;=$A81+1, $A81+1, " "), " ")</f>
        <v> </v>
      </c>
      <c r="B82" s="17" t="str">
        <f aca="false">IF($B$7*2&gt;$A82, $B$4*$B$5/2, IF($B$7*2=$A82, $B$4+($B$4*$B$5/2), " "))</f>
        <v> </v>
      </c>
      <c r="C82" s="17" t="str">
        <f aca="false">IF(B82&lt;&gt;" ", B82/(1+$B$6/2)^$A82, " ")</f>
        <v> </v>
      </c>
    </row>
    <row r="83" customFormat="false" ht="14.25" hidden="false" customHeight="false" outlineLevel="0" collapsed="false">
      <c r="A83" s="17" t="str">
        <f aca="false">IFERROR(IF($B$7*2&gt;=$A82+1, $A82+1, " "), " ")</f>
        <v> </v>
      </c>
      <c r="B83" s="17" t="str">
        <f aca="false">IF($B$7*2&gt;$A83, $B$4*$B$5/2, IF($B$7*2=$A83, $B$4+($B$4*$B$5/2), " "))</f>
        <v> </v>
      </c>
      <c r="C83" s="17" t="str">
        <f aca="false">IF(B83&lt;&gt;" ", B83/(1+$B$6/2)^$A83, " ")</f>
        <v> </v>
      </c>
    </row>
    <row r="84" customFormat="false" ht="14.25" hidden="false" customHeight="false" outlineLevel="0" collapsed="false">
      <c r="A84" s="17" t="str">
        <f aca="false">IFERROR(IF($B$7*2&gt;=$A83+1, $A83+1, " "), " ")</f>
        <v> </v>
      </c>
      <c r="B84" s="17" t="str">
        <f aca="false">IF($B$7*2&gt;$A84, $B$4*$B$5/2, IF($B$7*2=$A84, $B$4+($B$4*$B$5/2), " "))</f>
        <v> </v>
      </c>
      <c r="C84" s="17" t="str">
        <f aca="false">IF(B84&lt;&gt;" ", B84/(1+$B$6/2)^$A84, " ")</f>
        <v> </v>
      </c>
    </row>
    <row r="85" customFormat="false" ht="14.25" hidden="false" customHeight="false" outlineLevel="0" collapsed="false">
      <c r="A85" s="17" t="str">
        <f aca="false">IFERROR(IF($B$7*2&gt;=$A84+1, $A84+1, " "), " ")</f>
        <v> </v>
      </c>
      <c r="B85" s="17" t="str">
        <f aca="false">IF($B$7*2&gt;$A85, $B$4*$B$5/2, IF($B$7*2=$A85, $B$4+($B$4*$B$5/2), " "))</f>
        <v> </v>
      </c>
      <c r="C85" s="17" t="str">
        <f aca="false">IF(B85&lt;&gt;" ", B85/(1+$B$6/2)^$A85, " ")</f>
        <v> </v>
      </c>
    </row>
    <row r="86" customFormat="false" ht="14.25" hidden="false" customHeight="false" outlineLevel="0" collapsed="false">
      <c r="A86" s="17" t="str">
        <f aca="false">IFERROR(IF($B$7*2&gt;=$A85+1, $A85+1, " "), " ")</f>
        <v> </v>
      </c>
      <c r="B86" s="17" t="str">
        <f aca="false">IF($B$7*2&gt;$A86, $B$4*$B$5/2, IF($B$7*2=$A86, $B$4+($B$4*$B$5/2), " "))</f>
        <v> </v>
      </c>
      <c r="C86" s="17" t="str">
        <f aca="false">IF(B86&lt;&gt;" ", B86/(1+$B$6/2)^$A86, " ")</f>
        <v> </v>
      </c>
    </row>
    <row r="87" customFormat="false" ht="14.25" hidden="false" customHeight="false" outlineLevel="0" collapsed="false">
      <c r="A87" s="17" t="str">
        <f aca="false">IFERROR(IF($B$7*2&gt;=$A86+1, $A86+1, " "), " ")</f>
        <v> </v>
      </c>
      <c r="B87" s="17" t="str">
        <f aca="false">IF($B$7*2&gt;$A87, $B$4*$B$5/2, IF($B$7*2=$A87, $B$4+($B$4*$B$5/2), " "))</f>
        <v> </v>
      </c>
      <c r="C87" s="17" t="str">
        <f aca="false">IF(B87&lt;&gt;" ", B87/(1+$B$6/2)^$A87, " ")</f>
        <v> </v>
      </c>
    </row>
    <row r="88" customFormat="false" ht="14.25" hidden="false" customHeight="false" outlineLevel="0" collapsed="false">
      <c r="A88" s="17" t="str">
        <f aca="false">IFERROR(IF($B$7*2&gt;=$A87+1, $A87+1, " "), " ")</f>
        <v> </v>
      </c>
      <c r="B88" s="17" t="str">
        <f aca="false">IF($B$7*2&gt;$A88, $B$4*$B$5/2, IF($B$7*2=$A88, $B$4+($B$4*$B$5/2), " "))</f>
        <v> </v>
      </c>
      <c r="C88" s="17" t="str">
        <f aca="false">IF(B88&lt;&gt;" ", B88/(1+$B$6/2)^$A88, " ")</f>
        <v> </v>
      </c>
    </row>
    <row r="89" customFormat="false" ht="14.25" hidden="false" customHeight="false" outlineLevel="0" collapsed="false">
      <c r="A89" s="17" t="str">
        <f aca="false">IFERROR(IF($B$7*2&gt;=$A88+1, $A88+1, " "), " ")</f>
        <v> </v>
      </c>
      <c r="B89" s="17" t="str">
        <f aca="false">IF($B$7*2&gt;$A89, $B$4*$B$5/2, IF($B$7*2=$A89, $B$4+($B$4*$B$5/2), " "))</f>
        <v> </v>
      </c>
      <c r="C89" s="17" t="str">
        <f aca="false">IF(B89&lt;&gt;" ", B89/(1+$B$6/2)^$A89, " ")</f>
        <v> </v>
      </c>
    </row>
    <row r="90" customFormat="false" ht="14.25" hidden="false" customHeight="false" outlineLevel="0" collapsed="false">
      <c r="A90" s="17" t="str">
        <f aca="false">IFERROR(IF($B$7*2&gt;=$A89+1, $A89+1, " "), " ")</f>
        <v> </v>
      </c>
      <c r="B90" s="17" t="str">
        <f aca="false">IF($B$7*2&gt;$A90, $B$4*$B$5/2, IF($B$7*2=$A90, $B$4+($B$4*$B$5/2), " "))</f>
        <v> </v>
      </c>
      <c r="C90" s="17" t="str">
        <f aca="false">IF(B90&lt;&gt;" ", B90/(1+$B$6/2)^$A90, " ")</f>
        <v> </v>
      </c>
    </row>
    <row r="91" customFormat="false" ht="14.25" hidden="false" customHeight="false" outlineLevel="0" collapsed="false">
      <c r="A91" s="17" t="str">
        <f aca="false">IFERROR(IF($B$7*2&gt;=$A90+1, $A90+1, " "), " ")</f>
        <v> </v>
      </c>
      <c r="B91" s="17" t="str">
        <f aca="false">IF($B$7*2&gt;$A91, $B$4*$B$5/2, IF($B$7*2=$A91, $B$4+($B$4*$B$5/2), " "))</f>
        <v> </v>
      </c>
      <c r="C91" s="17" t="str">
        <f aca="false">IF(B91&lt;&gt;" ", B91/(1+$B$6/2)^$A91, " ")</f>
        <v> </v>
      </c>
    </row>
    <row r="92" customFormat="false" ht="14.25" hidden="false" customHeight="false" outlineLevel="0" collapsed="false">
      <c r="A92" s="17" t="str">
        <f aca="false">IFERROR(IF($B$7*2&gt;=$A91+1, $A91+1, " "), " ")</f>
        <v> </v>
      </c>
      <c r="B92" s="17" t="str">
        <f aca="false">IF($B$7*2&gt;$A92, $B$4*$B$5/2, IF($B$7*2=$A92, $B$4+($B$4*$B$5/2), " "))</f>
        <v> </v>
      </c>
      <c r="C92" s="17" t="str">
        <f aca="false">IF(B92&lt;&gt;" ", B92/(1+$B$6/2)^$A92, " ")</f>
        <v> </v>
      </c>
    </row>
    <row r="93" customFormat="false" ht="14.25" hidden="false" customHeight="false" outlineLevel="0" collapsed="false">
      <c r="A93" s="17" t="str">
        <f aca="false">IFERROR(IF($B$7*2&gt;=$A92+1, $A92+1, " "), " ")</f>
        <v> </v>
      </c>
      <c r="B93" s="17" t="str">
        <f aca="false">IF($B$7*2&gt;$A93, $B$4*$B$5/2, IF($B$7*2=$A93, $B$4+($B$4*$B$5/2), " "))</f>
        <v> </v>
      </c>
      <c r="C93" s="17" t="str">
        <f aca="false">IF(B93&lt;&gt;" ", B93/(1+$B$6/2)^$A93, " ")</f>
        <v> </v>
      </c>
    </row>
    <row r="94" customFormat="false" ht="14.25" hidden="false" customHeight="false" outlineLevel="0" collapsed="false">
      <c r="A94" s="17" t="str">
        <f aca="false">IFERROR(IF($B$7*2&gt;=$A93+1, $A93+1, " "), " ")</f>
        <v> </v>
      </c>
      <c r="B94" s="17" t="str">
        <f aca="false">IF($B$7*2&gt;$A94, $B$4*$B$5/2, IF($B$7*2=$A94, $B$4+($B$4*$B$5/2), " "))</f>
        <v> </v>
      </c>
      <c r="C94" s="17" t="str">
        <f aca="false">IF(B94&lt;&gt;" ", B94/(1+$B$6/2)^$A94, " ")</f>
        <v>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O18" activeCellId="0" sqref="O18"/>
    </sheetView>
  </sheetViews>
  <sheetFormatPr defaultColWidth="8.67968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ColWidth="8.67968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34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F8" activeCellId="0" sqref="F8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23.01"/>
    <col collapsed="false" customWidth="true" hidden="false" outlineLevel="0" max="2" min="2" style="0" width="17.13"/>
    <col collapsed="false" customWidth="true" hidden="false" outlineLevel="0" max="3" min="3" style="0" width="9.59"/>
    <col collapsed="false" customWidth="true" hidden="false" outlineLevel="0" max="4" min="4" style="0" width="13.4"/>
    <col collapsed="false" customWidth="true" hidden="false" outlineLevel="0" max="5" min="5" style="0" width="16.26"/>
    <col collapsed="false" customWidth="true" hidden="false" outlineLevel="0" max="6" min="6" style="0" width="12.86"/>
    <col collapsed="false" customWidth="true" hidden="false" outlineLevel="0" max="7" min="7" style="0" width="11.72"/>
    <col collapsed="false" customWidth="true" hidden="false" outlineLevel="0" max="9" min="9" style="0" width="15.27"/>
    <col collapsed="false" customWidth="true" hidden="false" outlineLevel="0" max="10" min="10" style="0" width="14.13"/>
  </cols>
  <sheetData>
    <row r="1" customFormat="false" ht="14.25" hidden="false" customHeight="false" outlineLevel="0" collapsed="false">
      <c r="A1" s="42" t="s">
        <v>65</v>
      </c>
      <c r="B1" s="43" t="n">
        <f aca="false">E31</f>
        <v>1046.92536880249</v>
      </c>
      <c r="C1" s="44" t="n">
        <f aca="false">-PV(C5/C6,C4*C6,C3*C2/C6,C2)</f>
        <v>1096.63334334596</v>
      </c>
      <c r="D1" s="0" t="s">
        <v>66</v>
      </c>
      <c r="F1" s="45" t="n">
        <v>-0.02</v>
      </c>
    </row>
    <row r="2" customFormat="false" ht="14.25" hidden="false" customHeight="false" outlineLevel="0" collapsed="false">
      <c r="A2" s="42" t="s">
        <v>67</v>
      </c>
      <c r="B2" s="46" t="n">
        <v>1000</v>
      </c>
      <c r="C2" s="47" t="n">
        <f aca="false">B2</f>
        <v>1000</v>
      </c>
      <c r="D2" s="0" t="s">
        <v>6</v>
      </c>
      <c r="F2" s="48" t="s">
        <v>6</v>
      </c>
      <c r="G2" s="49" t="s">
        <v>6</v>
      </c>
    </row>
    <row r="3" customFormat="false" ht="14.25" hidden="false" customHeight="false" outlineLevel="0" collapsed="false">
      <c r="A3" s="42" t="s">
        <v>68</v>
      </c>
      <c r="B3" s="50" t="n">
        <v>0.09</v>
      </c>
      <c r="C3" s="51" t="n">
        <f aca="false">B3</f>
        <v>0.09</v>
      </c>
    </row>
    <row r="4" customFormat="false" ht="14.25" hidden="false" customHeight="false" outlineLevel="0" collapsed="false">
      <c r="A4" s="42" t="s">
        <v>69</v>
      </c>
      <c r="B4" s="52" t="n">
        <v>6</v>
      </c>
      <c r="C4" s="53" t="n">
        <f aca="false">B4</f>
        <v>6</v>
      </c>
      <c r="D4" s="0" t="s">
        <v>70</v>
      </c>
      <c r="F4" s="9" t="n">
        <f aca="false">-B9*F1*B1</f>
        <v>96.5734685135864</v>
      </c>
      <c r="G4" s="54"/>
      <c r="H4" s="0" t="s">
        <v>71</v>
      </c>
    </row>
    <row r="5" customFormat="false" ht="15.75" hidden="false" customHeight="false" outlineLevel="0" collapsed="false">
      <c r="A5" s="42" t="s">
        <v>72</v>
      </c>
      <c r="B5" s="50" t="n">
        <v>0.08</v>
      </c>
      <c r="C5" s="51" t="n">
        <v>0.07</v>
      </c>
      <c r="D5" s="55" t="s">
        <v>73</v>
      </c>
      <c r="E5" s="55"/>
      <c r="F5" s="56" t="n">
        <f aca="false">0.5*B10*F1^2*B1</f>
        <v>5.56310633860498</v>
      </c>
      <c r="G5" s="57"/>
      <c r="H5" s="58" t="s">
        <v>74</v>
      </c>
    </row>
    <row r="6" customFormat="false" ht="14.25" hidden="false" customHeight="false" outlineLevel="0" collapsed="false">
      <c r="A6" s="42" t="s">
        <v>75</v>
      </c>
      <c r="B6" s="52" t="n">
        <v>2</v>
      </c>
      <c r="C6" s="47" t="n">
        <f aca="false">B6</f>
        <v>2</v>
      </c>
      <c r="D6" s="55" t="s">
        <v>76</v>
      </c>
      <c r="E6" s="55"/>
      <c r="F6" s="59" t="n">
        <f aca="false">SUM(F4:F5)</f>
        <v>102.136574852191</v>
      </c>
      <c r="G6" s="60"/>
      <c r="H6" s="58"/>
      <c r="I6" s="3" t="s">
        <v>77</v>
      </c>
      <c r="J6" s="61" t="n">
        <f aca="false">-PV(0.06/2,12,45,1000)</f>
        <v>1149.31005990351</v>
      </c>
    </row>
    <row r="7" customFormat="false" ht="14.25" hidden="false" customHeight="false" outlineLevel="0" collapsed="false">
      <c r="D7" s="55"/>
      <c r="E7" s="55"/>
      <c r="F7" s="55"/>
      <c r="G7" s="58"/>
      <c r="H7" s="58"/>
      <c r="I7" s="3" t="s">
        <v>78</v>
      </c>
      <c r="J7" s="61" t="n">
        <f aca="false">J6-B1</f>
        <v>102.384691101022</v>
      </c>
    </row>
    <row r="8" customFormat="false" ht="14.25" hidden="false" customHeight="false" outlineLevel="0" collapsed="false">
      <c r="A8" s="1" t="s">
        <v>79</v>
      </c>
      <c r="B8" s="62" t="n">
        <f aca="false">F33</f>
        <v>4.79673194704473</v>
      </c>
      <c r="D8" s="55" t="s">
        <v>80</v>
      </c>
      <c r="E8" s="55"/>
      <c r="F8" s="43" t="n">
        <f aca="false">-PV((B5+F1)/2,B4*B6,B2*B3/B6,1000)</f>
        <v>1149.31005990351</v>
      </c>
      <c r="G8" s="63" t="s">
        <v>6</v>
      </c>
      <c r="H8" s="58"/>
      <c r="I8" s="3" t="s">
        <v>81</v>
      </c>
      <c r="J8" s="61" t="n">
        <f aca="false">J7-F4</f>
        <v>5.81122258743596</v>
      </c>
    </row>
    <row r="9" customFormat="false" ht="14.25" hidden="false" customHeight="false" outlineLevel="0" collapsed="false">
      <c r="A9" s="1" t="s">
        <v>82</v>
      </c>
      <c r="B9" s="62" t="n">
        <f aca="false">B8/(1+B5/B6)</f>
        <v>4.61224225677377</v>
      </c>
      <c r="D9" s="55" t="s">
        <v>83</v>
      </c>
      <c r="E9" s="55"/>
      <c r="F9" s="43" t="n">
        <f aca="false">B1+F6</f>
        <v>1149.06194365468</v>
      </c>
      <c r="G9" s="58"/>
      <c r="H9" s="58"/>
    </row>
    <row r="10" customFormat="false" ht="14.25" hidden="false" customHeight="false" outlineLevel="0" collapsed="false">
      <c r="A10" s="64" t="s">
        <v>84</v>
      </c>
      <c r="B10" s="65" t="n">
        <f aca="false">I33</f>
        <v>26.5687818080493</v>
      </c>
      <c r="D10" s="55" t="s">
        <v>81</v>
      </c>
      <c r="E10" s="55"/>
      <c r="F10" s="66" t="n">
        <f aca="false">F9-F8</f>
        <v>-0.248116248830911</v>
      </c>
      <c r="G10" s="58"/>
      <c r="H10" s="58"/>
      <c r="J10" s="0" t="s">
        <v>6</v>
      </c>
    </row>
    <row r="11" customFormat="false" ht="14.25" hidden="false" customHeight="false" outlineLevel="0" collapsed="false">
      <c r="A11" s="67" t="s">
        <v>85</v>
      </c>
      <c r="B11" s="67"/>
      <c r="C11" s="67"/>
      <c r="D11" s="67"/>
      <c r="E11" s="67"/>
      <c r="F11" s="68"/>
      <c r="G11" s="69"/>
    </row>
    <row r="12" customFormat="false" ht="14.25" hidden="false" customHeight="false" outlineLevel="0" collapsed="false">
      <c r="A12" s="67" t="s">
        <v>86</v>
      </c>
      <c r="B12" s="67"/>
      <c r="C12" s="67"/>
      <c r="D12" s="67"/>
      <c r="E12" s="67"/>
      <c r="F12" s="68"/>
      <c r="G12" s="69"/>
    </row>
    <row r="13" customFormat="false" ht="14.25" hidden="false" customHeight="false" outlineLevel="0" collapsed="false">
      <c r="A13" s="67" t="s">
        <v>87</v>
      </c>
      <c r="B13" s="67"/>
      <c r="C13" s="67"/>
      <c r="D13" s="67"/>
      <c r="E13" s="67"/>
      <c r="F13" s="68"/>
      <c r="G13" s="69"/>
    </row>
    <row r="14" customFormat="false" ht="14.25" hidden="false" customHeight="false" outlineLevel="0" collapsed="false">
      <c r="B14" s="70"/>
      <c r="F14" s="27"/>
    </row>
    <row r="15" customFormat="false" ht="14.25" hidden="false" customHeight="false" outlineLevel="0" collapsed="false">
      <c r="A15" s="0" t="s">
        <v>6</v>
      </c>
      <c r="B15" s="0" t="s">
        <v>6</v>
      </c>
      <c r="C15" s="0" t="s">
        <v>6</v>
      </c>
      <c r="D15" s="0" t="s">
        <v>6</v>
      </c>
      <c r="E15" s="0" t="s">
        <v>6</v>
      </c>
      <c r="F15" s="0" t="s">
        <v>6</v>
      </c>
      <c r="G15" s="55" t="s">
        <v>6</v>
      </c>
      <c r="H15" s="55" t="s">
        <v>6</v>
      </c>
      <c r="I15" s="55" t="s">
        <v>6</v>
      </c>
      <c r="J15" s="55"/>
      <c r="K15" s="55"/>
    </row>
    <row r="16" customFormat="false" ht="14.25" hidden="false" customHeight="false" outlineLevel="0" collapsed="false">
      <c r="A16" s="71" t="n">
        <v>1</v>
      </c>
      <c r="B16" s="72" t="n">
        <v>2</v>
      </c>
      <c r="C16" s="72" t="n">
        <v>3</v>
      </c>
      <c r="D16" s="72" t="n">
        <v>4</v>
      </c>
      <c r="E16" s="72" t="n">
        <v>5</v>
      </c>
      <c r="F16" s="72" t="n">
        <v>6</v>
      </c>
      <c r="G16" s="73" t="n">
        <v>7</v>
      </c>
      <c r="H16" s="73" t="n">
        <v>8</v>
      </c>
      <c r="I16" s="74" t="s">
        <v>88</v>
      </c>
      <c r="J16" s="55"/>
      <c r="K16" s="55"/>
    </row>
    <row r="17" customFormat="false" ht="14.25" hidden="false" customHeight="false" outlineLevel="0" collapsed="false">
      <c r="A17" s="75" t="s">
        <v>89</v>
      </c>
      <c r="B17" s="76" t="s">
        <v>90</v>
      </c>
      <c r="C17" s="77" t="s">
        <v>91</v>
      </c>
      <c r="D17" s="77" t="s">
        <v>92</v>
      </c>
      <c r="E17" s="77" t="s">
        <v>93</v>
      </c>
      <c r="F17" s="77" t="s">
        <v>94</v>
      </c>
      <c r="G17" s="78" t="s">
        <v>95</v>
      </c>
      <c r="H17" s="78" t="s">
        <v>96</v>
      </c>
      <c r="I17" s="79"/>
      <c r="J17" s="55"/>
      <c r="K17" s="55"/>
    </row>
    <row r="18" customFormat="false" ht="14.25" hidden="false" customHeight="false" outlineLevel="0" collapsed="false">
      <c r="A18" s="0" t="n">
        <v>0.5</v>
      </c>
      <c r="B18" s="0" t="n">
        <v>1</v>
      </c>
      <c r="C18" s="80" t="n">
        <f aca="false">IF($B$4*$B$6&gt;$B18, $B$2*$B$3/$B$6, IF($B$4*$B$6=B18, $B$2+$B$2*$B$3/$B$6, " "))</f>
        <v>45</v>
      </c>
      <c r="D18" s="17" t="n">
        <f aca="false">(1+$B$5/$B$6)^$B18</f>
        <v>1.04</v>
      </c>
      <c r="E18" s="17" t="n">
        <f aca="false">C18/D18</f>
        <v>43.2692307692308</v>
      </c>
      <c r="F18" s="17" t="n">
        <f aca="false">B18*E18</f>
        <v>43.2692307692308</v>
      </c>
      <c r="G18" s="81" t="n">
        <f aca="false">(1+$B$5/$B$6)^2</f>
        <v>1.0816</v>
      </c>
      <c r="H18" s="81" t="n">
        <f aca="false">B18+B18^2</f>
        <v>2</v>
      </c>
      <c r="I18" s="81" t="n">
        <f aca="false">E18*H18/G18</f>
        <v>80.0096722803823</v>
      </c>
      <c r="J18" s="55"/>
      <c r="K18" s="55"/>
    </row>
    <row r="19" customFormat="false" ht="14.25" hidden="false" customHeight="false" outlineLevel="0" collapsed="false">
      <c r="A19" s="0" t="n">
        <v>1</v>
      </c>
      <c r="B19" s="0" t="n">
        <f aca="false">B18+1</f>
        <v>2</v>
      </c>
      <c r="C19" s="80" t="n">
        <f aca="false">IF($B$4*$B$6&gt;$B19, $B$2*$B$3/$B$6, IF($B$4*$B$6=B19, $B$2+$B$2*$B$3/$B$6, " "))</f>
        <v>45</v>
      </c>
      <c r="D19" s="17" t="n">
        <f aca="false">(1+$B$5/$B$6)^$B19</f>
        <v>1.0816</v>
      </c>
      <c r="E19" s="17" t="n">
        <f aca="false">C19/D19</f>
        <v>41.6050295857988</v>
      </c>
      <c r="F19" s="17" t="n">
        <f aca="false">B19*E19</f>
        <v>83.2100591715976</v>
      </c>
      <c r="G19" s="81" t="n">
        <f aca="false">(1+$B$5/$B$6)^2</f>
        <v>1.0816</v>
      </c>
      <c r="H19" s="81" t="n">
        <f aca="false">B19+B19^2</f>
        <v>6</v>
      </c>
      <c r="I19" s="81" t="n">
        <f aca="false">E19*H19/G19</f>
        <v>230.797131578026</v>
      </c>
      <c r="J19" s="55"/>
      <c r="K19" s="55"/>
    </row>
    <row r="20" customFormat="false" ht="14.25" hidden="false" customHeight="false" outlineLevel="0" collapsed="false">
      <c r="A20" s="0" t="n">
        <v>1.5</v>
      </c>
      <c r="B20" s="0" t="n">
        <f aca="false">B19+1</f>
        <v>3</v>
      </c>
      <c r="C20" s="80" t="n">
        <f aca="false">IF($B$4*$B$6&gt;$B20, $B$2*$B$3/$B$6, IF($B$4*$B$6=B20, $B$2+$B$2*$B$3/$B$6, " "))</f>
        <v>45</v>
      </c>
      <c r="D20" s="17" t="n">
        <f aca="false">(1+$B$5/$B$6)^$B20</f>
        <v>1.124864</v>
      </c>
      <c r="E20" s="17" t="n">
        <f aca="false">C20/D20</f>
        <v>40.0048361401912</v>
      </c>
      <c r="F20" s="17" t="n">
        <f aca="false">B20*E20</f>
        <v>120.014508420573</v>
      </c>
      <c r="G20" s="81" t="n">
        <f aca="false">(1+$B$5/$B$6)^2</f>
        <v>1.0816</v>
      </c>
      <c r="H20" s="81" t="n">
        <f aca="false">B20+B20^2</f>
        <v>12</v>
      </c>
      <c r="I20" s="81" t="n">
        <f aca="false">E20*H20/G20</f>
        <v>443.84063765005</v>
      </c>
      <c r="J20" s="55"/>
      <c r="K20" s="55"/>
    </row>
    <row r="21" customFormat="false" ht="14.25" hidden="false" customHeight="false" outlineLevel="0" collapsed="false">
      <c r="A21" s="0" t="n">
        <v>2</v>
      </c>
      <c r="B21" s="0" t="n">
        <f aca="false">B20+1</f>
        <v>4</v>
      </c>
      <c r="C21" s="80" t="n">
        <f aca="false">IF($B$4*$B$6&gt;$B21, $B$2*$B$3/$B$6, IF($B$4*$B$6=B21, $B$2+$B$2*$B$3/$B$6, " "))</f>
        <v>45</v>
      </c>
      <c r="D21" s="17" t="n">
        <f aca="false">(1+$B$5/$B$6)^$B21</f>
        <v>1.16985856</v>
      </c>
      <c r="E21" s="17" t="n">
        <f aca="false">C21/D21</f>
        <v>38.4661885963377</v>
      </c>
      <c r="F21" s="17" t="n">
        <f aca="false">B21*E21</f>
        <v>153.864754385351</v>
      </c>
      <c r="G21" s="81" t="n">
        <f aca="false">(1+$B$5/$B$6)^2</f>
        <v>1.0816</v>
      </c>
      <c r="H21" s="81" t="n">
        <f aca="false">B21+B21^2</f>
        <v>20</v>
      </c>
      <c r="I21" s="81" t="n">
        <f aca="false">E21*H21/G21</f>
        <v>711.283073157131</v>
      </c>
      <c r="J21" s="55"/>
      <c r="K21" s="55"/>
    </row>
    <row r="22" customFormat="false" ht="14.25" hidden="false" customHeight="false" outlineLevel="0" collapsed="false">
      <c r="A22" s="0" t="n">
        <v>2.5</v>
      </c>
      <c r="B22" s="0" t="n">
        <f aca="false">B21+1</f>
        <v>5</v>
      </c>
      <c r="C22" s="80" t="n">
        <f aca="false">IF($B$4*$B$6&gt;$B22, $B$2*$B$3/$B$6, IF($B$4*$B$6=B22, $B$2+$B$2*$B$3/$B$6, " "))</f>
        <v>45</v>
      </c>
      <c r="D22" s="17" t="n">
        <f aca="false">(1+$B$5/$B$6)^$B22</f>
        <v>1.2166529024</v>
      </c>
      <c r="E22" s="17" t="n">
        <f aca="false">C22/D22</f>
        <v>36.9867198041708</v>
      </c>
      <c r="F22" s="17" t="n">
        <f aca="false">B22*E22</f>
        <v>184.933599020854</v>
      </c>
      <c r="G22" s="81" t="n">
        <f aca="false">(1+$B$5/$B$6)^2</f>
        <v>1.0816</v>
      </c>
      <c r="H22" s="81" t="n">
        <f aca="false">B22+B22^2</f>
        <v>30</v>
      </c>
      <c r="I22" s="81" t="n">
        <f aca="false">E22*H22/G22</f>
        <v>1025.88904782279</v>
      </c>
      <c r="J22" s="55"/>
      <c r="K22" s="55"/>
    </row>
    <row r="23" customFormat="false" ht="14.25" hidden="false" customHeight="false" outlineLevel="0" collapsed="false">
      <c r="A23" s="0" t="n">
        <v>3</v>
      </c>
      <c r="B23" s="0" t="n">
        <f aca="false">B22+1</f>
        <v>6</v>
      </c>
      <c r="C23" s="80" t="n">
        <f aca="false">IF($B$4*$B$6&gt;$B23, $B$2*$B$3/$B$6, IF($B$4*$B$6=B23, $B$2+$B$2*$B$3/$B$6, " "))</f>
        <v>45</v>
      </c>
      <c r="D23" s="17" t="n">
        <f aca="false">(1+$B$5/$B$6)^$B23</f>
        <v>1.265319018496</v>
      </c>
      <c r="E23" s="17" t="n">
        <f aca="false">C23/D23</f>
        <v>35.5641536578566</v>
      </c>
      <c r="F23" s="17" t="n">
        <f aca="false">B23*E23</f>
        <v>213.384921947139</v>
      </c>
      <c r="G23" s="81" t="n">
        <f aca="false">(1+$B$5/$B$6)^2</f>
        <v>1.0816</v>
      </c>
      <c r="H23" s="81" t="n">
        <f aca="false">B23+B23^2</f>
        <v>42</v>
      </c>
      <c r="I23" s="81" t="n">
        <f aca="false">E23*H23/G23</f>
        <v>1381.00448745375</v>
      </c>
      <c r="J23" s="55"/>
      <c r="K23" s="55"/>
    </row>
    <row r="24" customFormat="false" ht="14.25" hidden="false" customHeight="false" outlineLevel="0" collapsed="false">
      <c r="A24" s="0" t="n">
        <v>3.5</v>
      </c>
      <c r="B24" s="0" t="n">
        <f aca="false">B23+1</f>
        <v>7</v>
      </c>
      <c r="C24" s="80" t="n">
        <f aca="false">IF($B$4*$B$6&gt;$B24, $B$2*$B$3/$B$6, IF($B$4*$B$6=B24, $B$2+$B$2*$B$3/$B$6, " "))</f>
        <v>45</v>
      </c>
      <c r="D24" s="17" t="n">
        <f aca="false">(1+$B$5/$B$6)^$B24</f>
        <v>1.31593177923584</v>
      </c>
      <c r="E24" s="17" t="n">
        <f aca="false">C24/D24</f>
        <v>34.1963015940928</v>
      </c>
      <c r="F24" s="17" t="n">
        <f aca="false">B24*E24</f>
        <v>239.37411115865</v>
      </c>
      <c r="G24" s="81" t="n">
        <f aca="false">(1+$B$5/$B$6)^2</f>
        <v>1.0816</v>
      </c>
      <c r="H24" s="81" t="n">
        <f aca="false">B24+B24^2</f>
        <v>56</v>
      </c>
      <c r="I24" s="81" t="n">
        <f aca="false">E24*H24/G24</f>
        <v>1770.51857365865</v>
      </c>
      <c r="J24" s="55"/>
      <c r="K24" s="55"/>
    </row>
    <row r="25" customFormat="false" ht="14.25" hidden="false" customHeight="false" outlineLevel="0" collapsed="false">
      <c r="A25" s="0" t="n">
        <v>4</v>
      </c>
      <c r="B25" s="0" t="n">
        <f aca="false">B24+1</f>
        <v>8</v>
      </c>
      <c r="C25" s="80" t="n">
        <f aca="false">IF($B$4*$B$6&gt;$B25, $B$2*$B$3/$B$6, IF($B$4*$B$6=B25, $B$2+$B$2*$B$3/$B$6, " "))</f>
        <v>45</v>
      </c>
      <c r="D25" s="17" t="n">
        <f aca="false">(1+$B$5/$B$6)^$B25</f>
        <v>1.36856905040527</v>
      </c>
      <c r="E25" s="17" t="n">
        <f aca="false">C25/D25</f>
        <v>32.8810592250893</v>
      </c>
      <c r="F25" s="17" t="n">
        <f aca="false">B25*E25</f>
        <v>263.048473800714</v>
      </c>
      <c r="G25" s="81" t="n">
        <f aca="false">(1+$B$5/$B$6)^2</f>
        <v>1.0816</v>
      </c>
      <c r="H25" s="81" t="n">
        <f aca="false">B25+B25^2</f>
        <v>72</v>
      </c>
      <c r="I25" s="81" t="n">
        <f aca="false">E25*H25/G25</f>
        <v>2188.82790699559</v>
      </c>
      <c r="J25" s="55"/>
      <c r="K25" s="55"/>
    </row>
    <row r="26" customFormat="false" ht="14.25" hidden="false" customHeight="false" outlineLevel="0" collapsed="false">
      <c r="A26" s="0" t="n">
        <v>4.5</v>
      </c>
      <c r="B26" s="0" t="n">
        <f aca="false">B25+1</f>
        <v>9</v>
      </c>
      <c r="C26" s="80" t="n">
        <f aca="false">IF($B$4*$B$6&gt;$B26, $B$2*$B$3/$B$6, IF($B$4*$B$6=B26, $B$2+$B$2*$B$3/$B$6, " "))</f>
        <v>45</v>
      </c>
      <c r="D26" s="17" t="n">
        <f aca="false">(1+$B$5/$B$6)^$B26</f>
        <v>1.42331181242149</v>
      </c>
      <c r="E26" s="17" t="n">
        <f aca="false">C26/D26</f>
        <v>31.6164031010474</v>
      </c>
      <c r="F26" s="17" t="n">
        <f aca="false">B26*E26</f>
        <v>284.547627909426</v>
      </c>
      <c r="G26" s="81" t="n">
        <f aca="false">(1+$B$5/$B$6)^2</f>
        <v>1.0816</v>
      </c>
      <c r="H26" s="81" t="n">
        <f aca="false">B26+B26^2</f>
        <v>90</v>
      </c>
      <c r="I26" s="81" t="n">
        <f aca="false">E26*H26/G26</f>
        <v>2630.80277283123</v>
      </c>
      <c r="J26" s="55"/>
      <c r="K26" s="55"/>
    </row>
    <row r="27" customFormat="false" ht="14.25" hidden="false" customHeight="false" outlineLevel="0" collapsed="false">
      <c r="A27" s="0" t="n">
        <v>5</v>
      </c>
      <c r="B27" s="0" t="n">
        <f aca="false">B26+1</f>
        <v>10</v>
      </c>
      <c r="C27" s="80" t="n">
        <f aca="false">IF($B$4*$B$6&gt;$B27, $B$2*$B$3/$B$6, IF($B$4*$B$6=B27, $B$2+$B$2*$B$3/$B$6, " "))</f>
        <v>45</v>
      </c>
      <c r="D27" s="17" t="n">
        <f aca="false">(1+$B$5/$B$6)^$B27</f>
        <v>1.48024428491834</v>
      </c>
      <c r="E27" s="17" t="n">
        <f aca="false">C27/D27</f>
        <v>30.4003875971609</v>
      </c>
      <c r="F27" s="17" t="n">
        <f aca="false">B27*E27</f>
        <v>304.003875971609</v>
      </c>
      <c r="G27" s="81" t="n">
        <f aca="false">(1+$B$5/$B$6)^2</f>
        <v>1.0816</v>
      </c>
      <c r="H27" s="81" t="n">
        <f aca="false">B27+B27^2</f>
        <v>110</v>
      </c>
      <c r="I27" s="81" t="n">
        <f aca="false">E27*H27/G27</f>
        <v>3091.75539542132</v>
      </c>
      <c r="J27" s="55"/>
      <c r="K27" s="55"/>
    </row>
    <row r="28" customFormat="false" ht="14.25" hidden="false" customHeight="false" outlineLevel="0" collapsed="false">
      <c r="A28" s="0" t="n">
        <v>5.5</v>
      </c>
      <c r="B28" s="0" t="n">
        <v>11</v>
      </c>
      <c r="C28" s="80" t="n">
        <f aca="false">IF($B$4*$B$6&gt;$B28, $B$2*$B$3/$B$6, IF($B$4*$B$6=B28, $B$2+$B$2*$B$3/$B$6, " "))</f>
        <v>45</v>
      </c>
      <c r="D28" s="17" t="n">
        <f aca="false">(1+$B$5/$B$6)^$B28</f>
        <v>1.53945405631508</v>
      </c>
      <c r="E28" s="17" t="n">
        <f aca="false">C28/D28</f>
        <v>29.2311419203471</v>
      </c>
      <c r="F28" s="17" t="n">
        <f aca="false">B28*E28</f>
        <v>321.542561123818</v>
      </c>
      <c r="G28" s="81" t="n">
        <f aca="false">(1+$B$5/$B$6)^2</f>
        <v>1.0816</v>
      </c>
      <c r="H28" s="81" t="n">
        <f aca="false">B28+B28^2</f>
        <v>132</v>
      </c>
      <c r="I28" s="81" t="n">
        <f aca="false">E28*H28/G28</f>
        <v>3567.41007163999</v>
      </c>
      <c r="J28" s="55"/>
      <c r="K28" s="55"/>
    </row>
    <row r="29" customFormat="false" ht="14.25" hidden="false" customHeight="false" outlineLevel="0" collapsed="false">
      <c r="A29" s="82" t="n">
        <v>6</v>
      </c>
      <c r="B29" s="82" t="n">
        <v>12</v>
      </c>
      <c r="C29" s="80" t="n">
        <f aca="false">IF($B$4*$B$6&gt;$B29, $B$2*$B$3/$B$6, IF($B$4*$B$6=B29, $B$2+$B$2*$B$3/$B$6, " "))</f>
        <v>1045</v>
      </c>
      <c r="D29" s="17" t="n">
        <f aca="false">(1+$B$5/$B$6)^$B29</f>
        <v>1.60103221856768</v>
      </c>
      <c r="E29" s="17" t="n">
        <f aca="false">C29/D29</f>
        <v>652.703916811168</v>
      </c>
      <c r="F29" s="17" t="n">
        <f aca="false">B29*E29</f>
        <v>7832.44700173402</v>
      </c>
      <c r="G29" s="81" t="n">
        <f aca="false">(1+$B$5/$B$6)^2</f>
        <v>1.0816</v>
      </c>
      <c r="H29" s="81" t="n">
        <f aca="false">B29+B29^2</f>
        <v>156</v>
      </c>
      <c r="I29" s="81" t="n">
        <f aca="false">E29*H29/G29</f>
        <v>94139.9880016108</v>
      </c>
      <c r="J29" s="55"/>
      <c r="K29" s="55"/>
    </row>
    <row r="30" customFormat="false" ht="14.25" hidden="false" customHeight="false" outlineLevel="0" collapsed="false">
      <c r="B30" s="0" t="s">
        <v>6</v>
      </c>
      <c r="G30" s="55"/>
      <c r="H30" s="55"/>
      <c r="I30" s="55"/>
      <c r="J30" s="55"/>
      <c r="K30" s="55"/>
    </row>
    <row r="31" customFormat="false" ht="14.25" hidden="false" customHeight="false" outlineLevel="0" collapsed="false">
      <c r="B31" s="0" t="s">
        <v>6</v>
      </c>
      <c r="C31" s="0" t="s">
        <v>6</v>
      </c>
      <c r="D31" s="83" t="s">
        <v>97</v>
      </c>
      <c r="E31" s="84" t="n">
        <f aca="false">SUM(E18:E29)</f>
        <v>1046.92536880249</v>
      </c>
      <c r="F31" s="85" t="n">
        <f aca="false">SUM(F18:F29)</f>
        <v>10043.640725413</v>
      </c>
      <c r="G31" s="86" t="n">
        <f aca="false">SUM(G18:G29)</f>
        <v>12.9792</v>
      </c>
      <c r="H31" s="55"/>
      <c r="I31" s="66" t="n">
        <f aca="false">SUM(I18:I29)</f>
        <v>111262.1267721</v>
      </c>
      <c r="J31" s="87" t="s">
        <v>98</v>
      </c>
      <c r="K31" s="55"/>
    </row>
    <row r="32" customFormat="false" ht="14.25" hidden="false" customHeight="false" outlineLevel="0" collapsed="false">
      <c r="E32" s="88" t="s">
        <v>99</v>
      </c>
      <c r="F32" s="89" t="n">
        <f aca="false">F31/E31</f>
        <v>9.59346389408945</v>
      </c>
      <c r="G32" s="87" t="s">
        <v>100</v>
      </c>
      <c r="H32" s="90"/>
      <c r="I32" s="91" t="n">
        <f aca="false">I31/E31</f>
        <v>106.275127232197</v>
      </c>
      <c r="J32" s="87" t="s">
        <v>99</v>
      </c>
      <c r="K32" s="55"/>
    </row>
    <row r="33" customFormat="false" ht="14.25" hidden="false" customHeight="false" outlineLevel="0" collapsed="false">
      <c r="E33" s="92" t="s">
        <v>101</v>
      </c>
      <c r="F33" s="93" t="n">
        <f aca="false">F32/2</f>
        <v>4.79673194704473</v>
      </c>
      <c r="G33" s="94" t="s">
        <v>102</v>
      </c>
      <c r="H33" s="95"/>
      <c r="I33" s="96" t="n">
        <f aca="false">I32/4</f>
        <v>26.5687818080493</v>
      </c>
      <c r="J33" s="94" t="s">
        <v>103</v>
      </c>
      <c r="K33" s="55"/>
    </row>
    <row r="34" customFormat="false" ht="14.25" hidden="false" customHeight="false" outlineLevel="0" collapsed="false">
      <c r="G34" s="55"/>
      <c r="H34" s="55"/>
      <c r="I34" s="55"/>
      <c r="J34" s="55"/>
      <c r="K34" s="55"/>
    </row>
  </sheetData>
  <dataValidations count="2">
    <dataValidation allowBlank="true" error="The frequency is restricted to either 1 or 2 (annual or semiannual)." operator="between" showDropDown="false" showErrorMessage="true" showInputMessage="true" sqref="B6" type="custom">
      <formula1>OR(B6=1,B6=2)=1</formula1>
      <formula2>0</formula2>
    </dataValidation>
    <dataValidation allowBlank="true" error="These calculations only work on a payment date, so this value must be a positive integer between 1 and 20." operator="between" prompt="The life of the bond must be between 1 and 20 years." showDropDown="false" showErrorMessage="true" showInputMessage="false" sqref="B4" type="whole">
      <formula1>1</formula1>
      <formula2>20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P27"/>
  <sheetViews>
    <sheetView showFormulas="false" showGridLines="true" showRowColHeaders="true" showZeros="true" rightToLeft="false" tabSelected="false" showOutlineSymbols="true" defaultGridColor="true" view="normal" topLeftCell="A1" colorId="64" zoomScale="62" zoomScaleNormal="62" zoomScalePageLayoutView="100" workbookViewId="0">
      <selection pane="topLeft" activeCell="A28" activeCellId="0" sqref="A28"/>
    </sheetView>
  </sheetViews>
  <sheetFormatPr defaultColWidth="8.6796875" defaultRowHeight="14.25" zeroHeight="false" outlineLevelRow="0" outlineLevelCol="0"/>
  <sheetData>
    <row r="27" customFormat="false" ht="14.25" hidden="false" customHeight="false" outlineLevel="0" collapsed="false">
      <c r="P27" s="50" t="s">
        <v>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2" activeCellId="0" sqref="B1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30.54"/>
    <col collapsed="false" customWidth="true" hidden="false" outlineLevel="0" max="2" min="2" style="0" width="13.53"/>
    <col collapsed="false" customWidth="true" hidden="false" outlineLevel="0" max="3" min="3" style="0" width="20.19"/>
    <col collapsed="false" customWidth="true" hidden="false" outlineLevel="0" max="4" min="4" style="0" width="14.86"/>
    <col collapsed="false" customWidth="true" hidden="false" outlineLevel="0" max="5" min="5" style="0" width="17"/>
    <col collapsed="false" customWidth="true" hidden="false" outlineLevel="0" max="6" min="6" style="0" width="17.73"/>
    <col collapsed="false" customWidth="true" hidden="false" outlineLevel="0" max="9" min="9" style="0" width="17.59"/>
    <col collapsed="false" customWidth="true" hidden="false" outlineLevel="0" max="10" min="10" style="0" width="15.4"/>
  </cols>
  <sheetData>
    <row r="1" customFormat="false" ht="14.25" hidden="false" customHeight="false" outlineLevel="0" collapsed="false">
      <c r="A1" s="42" t="s">
        <v>104</v>
      </c>
      <c r="B1" s="97" t="n">
        <f aca="false">-PV(B6/B7,B5*B7,B4*B3/B7,B3)</f>
        <v>100000</v>
      </c>
      <c r="C1" s="44" t="e">
        <f aca="false">-PV(C6/C7,C5*C7,C4*C3/C7,C3)</f>
        <v>#VALUE!</v>
      </c>
      <c r="D1" s="0" t="s">
        <v>66</v>
      </c>
      <c r="F1" s="50" t="n">
        <v>0.0025</v>
      </c>
    </row>
    <row r="2" customFormat="false" ht="14.25" hidden="false" customHeight="false" outlineLevel="0" collapsed="false">
      <c r="A2" s="42" t="s">
        <v>105</v>
      </c>
      <c r="B2" s="97" t="n">
        <f aca="false">-PV(B6+$F$1,B5,B4*B3,B3)</f>
        <v>97839.9809591528</v>
      </c>
      <c r="C2" s="44"/>
      <c r="F2" s="98"/>
    </row>
    <row r="3" customFormat="false" ht="14.25" hidden="false" customHeight="false" outlineLevel="0" collapsed="false">
      <c r="A3" s="42" t="s">
        <v>67</v>
      </c>
      <c r="B3" s="46" t="n">
        <v>100000</v>
      </c>
      <c r="C3" s="47" t="s">
        <v>106</v>
      </c>
      <c r="D3" s="0" t="s">
        <v>6</v>
      </c>
      <c r="F3" s="48" t="s">
        <v>6</v>
      </c>
      <c r="G3" s="49" t="s">
        <v>6</v>
      </c>
    </row>
    <row r="4" customFormat="false" ht="14.25" hidden="false" customHeight="false" outlineLevel="0" collapsed="false">
      <c r="A4" s="42" t="s">
        <v>68</v>
      </c>
      <c r="B4" s="50" t="n">
        <v>0.025</v>
      </c>
      <c r="C4" s="51" t="n">
        <f aca="false">B4</f>
        <v>0.025</v>
      </c>
    </row>
    <row r="5" customFormat="false" ht="14.25" hidden="false" customHeight="false" outlineLevel="0" collapsed="false">
      <c r="A5" s="42" t="s">
        <v>69</v>
      </c>
      <c r="B5" s="52" t="n">
        <v>10</v>
      </c>
      <c r="C5" s="53" t="n">
        <f aca="false">B5</f>
        <v>10</v>
      </c>
      <c r="D5" s="0" t="s">
        <v>70</v>
      </c>
      <c r="F5" s="9" t="n">
        <f aca="false">-B10*F1*B1</f>
        <v>-2188.01598274273</v>
      </c>
      <c r="G5" s="49" t="s">
        <v>6</v>
      </c>
      <c r="H5" s="0" t="s">
        <v>71</v>
      </c>
    </row>
    <row r="6" customFormat="false" ht="15.75" hidden="false" customHeight="false" outlineLevel="0" collapsed="false">
      <c r="A6" s="42" t="s">
        <v>107</v>
      </c>
      <c r="B6" s="50" t="n">
        <v>0.025</v>
      </c>
      <c r="C6" s="51" t="n">
        <v>0.015</v>
      </c>
      <c r="D6" s="55" t="s">
        <v>73</v>
      </c>
      <c r="E6" s="55"/>
      <c r="F6" s="56" t="n">
        <f aca="false">0.5*B11*F1^2*B1</f>
        <v>28.2654027314132</v>
      </c>
      <c r="G6" s="99" t="s">
        <v>6</v>
      </c>
      <c r="H6" s="58" t="s">
        <v>74</v>
      </c>
    </row>
    <row r="7" customFormat="false" ht="14.25" hidden="false" customHeight="false" outlineLevel="0" collapsed="false">
      <c r="A7" s="42" t="s">
        <v>75</v>
      </c>
      <c r="B7" s="52" t="n">
        <v>1</v>
      </c>
      <c r="C7" s="47" t="n">
        <f aca="false">B7</f>
        <v>1</v>
      </c>
      <c r="D7" s="55" t="s">
        <v>76</v>
      </c>
      <c r="E7" s="55"/>
      <c r="F7" s="59" t="n">
        <f aca="false">SUM(F5:F6)</f>
        <v>-2159.75058001132</v>
      </c>
      <c r="G7" s="99" t="s">
        <v>6</v>
      </c>
      <c r="H7" s="58"/>
      <c r="I7" s="3"/>
      <c r="J7" s="61"/>
    </row>
    <row r="8" customFormat="false" ht="14.25" hidden="false" customHeight="false" outlineLevel="0" collapsed="false">
      <c r="D8" s="55"/>
      <c r="E8" s="55"/>
      <c r="F8" s="55"/>
      <c r="G8" s="58"/>
      <c r="H8" s="58"/>
      <c r="I8" s="3"/>
      <c r="J8" s="61"/>
    </row>
    <row r="9" customFormat="false" ht="14.25" hidden="false" customHeight="false" outlineLevel="0" collapsed="false">
      <c r="A9" s="1" t="s">
        <v>108</v>
      </c>
      <c r="B9" s="100" t="n">
        <f aca="false">F36</f>
        <v>8.97086552924521</v>
      </c>
      <c r="D9" s="55" t="s">
        <v>80</v>
      </c>
      <c r="E9" s="55"/>
      <c r="F9" s="43" t="n">
        <f aca="false">-PV((B6+F1)/B7,B5*B7,B3*B4/B7,$B$3)</f>
        <v>97839.9809591528</v>
      </c>
      <c r="G9" s="63" t="s">
        <v>6</v>
      </c>
      <c r="H9" s="58"/>
      <c r="I9" s="3"/>
      <c r="J9" s="61"/>
    </row>
    <row r="10" customFormat="false" ht="14.25" hidden="false" customHeight="false" outlineLevel="0" collapsed="false">
      <c r="A10" s="1" t="s">
        <v>82</v>
      </c>
      <c r="B10" s="100" t="n">
        <f aca="false">B9/(1+$B$4/$B$7)</f>
        <v>8.75206393097094</v>
      </c>
      <c r="D10" s="55" t="s">
        <v>83</v>
      </c>
      <c r="E10" s="55"/>
      <c r="F10" s="43" t="n">
        <f aca="false">B1+F7</f>
        <v>97840.2494199887</v>
      </c>
      <c r="G10" s="58"/>
      <c r="H10" s="58"/>
    </row>
    <row r="11" customFormat="false" ht="14.25" hidden="false" customHeight="false" outlineLevel="0" collapsed="false">
      <c r="A11" s="64" t="s">
        <v>84</v>
      </c>
      <c r="B11" s="101" t="n">
        <f aca="false">I36</f>
        <v>90.4492887405223</v>
      </c>
      <c r="D11" s="55" t="s">
        <v>81</v>
      </c>
      <c r="E11" s="55"/>
      <c r="F11" s="66" t="n">
        <f aca="false">F10-F9</f>
        <v>0.268460835868609</v>
      </c>
      <c r="G11" s="58"/>
      <c r="H11" s="58"/>
      <c r="J11" s="0" t="s">
        <v>6</v>
      </c>
    </row>
    <row r="12" customFormat="false" ht="14.25" hidden="false" customHeight="false" outlineLevel="0" collapsed="false">
      <c r="A12" s="1" t="s">
        <v>109</v>
      </c>
      <c r="B12" s="100" t="n">
        <f aca="false">F55</f>
        <v>8.95718244951357</v>
      </c>
      <c r="D12" s="55"/>
      <c r="E12" s="55"/>
      <c r="F12" s="102"/>
      <c r="G12" s="58"/>
      <c r="H12" s="58"/>
    </row>
    <row r="13" customFormat="false" ht="14.25" hidden="false" customHeight="false" outlineLevel="0" collapsed="false">
      <c r="A13" s="1" t="s">
        <v>82</v>
      </c>
      <c r="B13" s="100" t="n">
        <f aca="false">B12/(1+$B$4/$B$7+$F$1)</f>
        <v>8.71745250560932</v>
      </c>
      <c r="D13" s="55"/>
      <c r="E13" s="55"/>
      <c r="F13" s="102"/>
      <c r="G13" s="58"/>
      <c r="H13" s="58"/>
    </row>
    <row r="14" customFormat="false" ht="14.25" hidden="false" customHeight="false" outlineLevel="0" collapsed="false">
      <c r="A14" s="64" t="s">
        <v>84</v>
      </c>
      <c r="B14" s="101" t="n">
        <f aca="false">I55</f>
        <v>89.8325007718175</v>
      </c>
      <c r="D14" s="55"/>
      <c r="E14" s="55"/>
      <c r="F14" s="102"/>
      <c r="G14" s="58"/>
      <c r="H14" s="58"/>
    </row>
    <row r="15" customFormat="false" ht="14.25" hidden="false" customHeight="false" outlineLevel="0" collapsed="false">
      <c r="A15" s="67" t="s">
        <v>85</v>
      </c>
      <c r="B15" s="67"/>
      <c r="C15" s="67"/>
      <c r="D15" s="67"/>
      <c r="E15" s="67"/>
      <c r="F15" s="68"/>
      <c r="G15" s="69"/>
    </row>
    <row r="16" customFormat="false" ht="14.25" hidden="false" customHeight="false" outlineLevel="0" collapsed="false">
      <c r="A16" s="67" t="s">
        <v>110</v>
      </c>
      <c r="B16" s="67"/>
      <c r="C16" s="67"/>
      <c r="D16" s="67"/>
      <c r="E16" s="67"/>
      <c r="F16" s="68"/>
      <c r="G16" s="69"/>
    </row>
    <row r="17" customFormat="false" ht="14.25" hidden="false" customHeight="false" outlineLevel="0" collapsed="false">
      <c r="A17" s="67" t="s">
        <v>111</v>
      </c>
      <c r="B17" s="67"/>
      <c r="C17" s="67"/>
      <c r="D17" s="67"/>
      <c r="E17" s="67"/>
      <c r="F17" s="68"/>
      <c r="G17" s="69"/>
    </row>
    <row r="18" customFormat="false" ht="14.25" hidden="false" customHeight="false" outlineLevel="0" collapsed="false">
      <c r="B18" s="70"/>
      <c r="F18" s="27"/>
    </row>
    <row r="19" customFormat="false" ht="14.25" hidden="false" customHeight="false" outlineLevel="0" collapsed="false">
      <c r="A19" s="103" t="s">
        <v>112</v>
      </c>
      <c r="B19" s="103"/>
      <c r="C19" s="0" t="s">
        <v>6</v>
      </c>
      <c r="D19" s="0" t="s">
        <v>6</v>
      </c>
      <c r="E19" s="0" t="s">
        <v>6</v>
      </c>
      <c r="F19" s="0" t="s">
        <v>6</v>
      </c>
      <c r="G19" s="55" t="s">
        <v>6</v>
      </c>
      <c r="H19" s="55" t="s">
        <v>6</v>
      </c>
      <c r="I19" s="55" t="s">
        <v>6</v>
      </c>
      <c r="J19" s="55"/>
      <c r="K19" s="55"/>
    </row>
    <row r="20" customFormat="false" ht="14.25" hidden="false" customHeight="false" outlineLevel="0" collapsed="false">
      <c r="A20" s="104" t="n">
        <v>1</v>
      </c>
      <c r="B20" s="105" t="n">
        <v>2</v>
      </c>
      <c r="C20" s="105" t="n">
        <v>3</v>
      </c>
      <c r="D20" s="105" t="n">
        <v>4</v>
      </c>
      <c r="E20" s="105" t="n">
        <v>5</v>
      </c>
      <c r="F20" s="105" t="n">
        <v>6</v>
      </c>
      <c r="G20" s="106" t="n">
        <v>7</v>
      </c>
      <c r="H20" s="106" t="n">
        <v>8</v>
      </c>
      <c r="I20" s="107" t="s">
        <v>88</v>
      </c>
      <c r="J20" s="55"/>
      <c r="K20" s="55"/>
    </row>
    <row r="21" customFormat="false" ht="14.25" hidden="false" customHeight="false" outlineLevel="0" collapsed="false">
      <c r="A21" s="108" t="s">
        <v>89</v>
      </c>
      <c r="B21" s="109" t="s">
        <v>90</v>
      </c>
      <c r="C21" s="110" t="s">
        <v>91</v>
      </c>
      <c r="D21" s="110" t="s">
        <v>92</v>
      </c>
      <c r="E21" s="110" t="s">
        <v>93</v>
      </c>
      <c r="F21" s="110" t="s">
        <v>94</v>
      </c>
      <c r="G21" s="111" t="s">
        <v>95</v>
      </c>
      <c r="H21" s="111" t="s">
        <v>96</v>
      </c>
      <c r="I21" s="112"/>
      <c r="J21" s="55"/>
      <c r="K21" s="55"/>
    </row>
    <row r="22" customFormat="false" ht="14.25" hidden="false" customHeight="false" outlineLevel="0" collapsed="false">
      <c r="A22" s="0" t="n">
        <v>1</v>
      </c>
      <c r="B22" s="0" t="n">
        <v>1</v>
      </c>
      <c r="C22" s="80" t="n">
        <f aca="false">IF($B$5*$B$7&gt;$B22, $B$1*$B$4/$B$7, IF($B$5*$B$7=B22, $B$1+$B$1*$B$4/$B$7, " "))</f>
        <v>2500</v>
      </c>
      <c r="D22" s="17" t="n">
        <f aca="false">(1+$B$4/$B$7)^$B22</f>
        <v>1.025</v>
      </c>
      <c r="E22" s="17" t="n">
        <f aca="false">C22/D22</f>
        <v>2439.0243902439</v>
      </c>
      <c r="F22" s="17" t="n">
        <f aca="false">B22*E22</f>
        <v>2439.0243902439</v>
      </c>
      <c r="G22" s="81" t="n">
        <f aca="false">(1+$B$4/$B$7)^2</f>
        <v>1.050625</v>
      </c>
      <c r="H22" s="81" t="n">
        <f aca="false">B22+B22^2</f>
        <v>2</v>
      </c>
      <c r="I22" s="81" t="n">
        <f aca="false">E22*H22/G22</f>
        <v>4642.99705459874</v>
      </c>
      <c r="J22" s="55"/>
      <c r="K22" s="55"/>
    </row>
    <row r="23" customFormat="false" ht="14.25" hidden="false" customHeight="false" outlineLevel="0" collapsed="false">
      <c r="A23" s="0" t="n">
        <v>2</v>
      </c>
      <c r="B23" s="0" t="n">
        <f aca="false">B22+1</f>
        <v>2</v>
      </c>
      <c r="C23" s="80" t="n">
        <f aca="false">IF($B$5*$B$7&gt;$B23, $B$1*$B$4/$B$7, IF($B$5*$B$7=B23, $B$1+$B$1*$B$4/$B$7, " "))</f>
        <v>2500</v>
      </c>
      <c r="D23" s="17" t="n">
        <f aca="false">(1+$B$4/$B$7)^$B23</f>
        <v>1.050625</v>
      </c>
      <c r="E23" s="17" t="n">
        <f aca="false">C23/D23</f>
        <v>2379.53599048186</v>
      </c>
      <c r="F23" s="17" t="n">
        <f aca="false">B23*E23</f>
        <v>4759.07198096371</v>
      </c>
      <c r="G23" s="81" t="n">
        <f aca="false">(1+$B$4/$B$7)^2</f>
        <v>1.050625</v>
      </c>
      <c r="H23" s="81" t="n">
        <f aca="false">B23+B23^2</f>
        <v>6</v>
      </c>
      <c r="I23" s="81" t="n">
        <f aca="false">E23*H23/G23</f>
        <v>13589.2596719963</v>
      </c>
      <c r="J23" s="55"/>
      <c r="K23" s="55"/>
    </row>
    <row r="24" customFormat="false" ht="14.25" hidden="false" customHeight="false" outlineLevel="0" collapsed="false">
      <c r="A24" s="0" t="n">
        <v>3</v>
      </c>
      <c r="B24" s="0" t="n">
        <f aca="false">B23+1</f>
        <v>3</v>
      </c>
      <c r="C24" s="80" t="n">
        <f aca="false">IF($B$5*$B$7&gt;$B24, $B$1*$B$4/$B$7, IF($B$5*$B$7=B24, $B$1+$B$1*$B$4/$B$7, " "))</f>
        <v>2500</v>
      </c>
      <c r="D24" s="17" t="n">
        <f aca="false">(1+$B$4/$B$7)^$B24</f>
        <v>1.076890625</v>
      </c>
      <c r="E24" s="17" t="n">
        <f aca="false">C24/D24</f>
        <v>2321.49852729937</v>
      </c>
      <c r="F24" s="17" t="n">
        <f aca="false">B24*E24</f>
        <v>6964.49558189812</v>
      </c>
      <c r="G24" s="81" t="n">
        <f aca="false">(1+$B$4/$B$7)^2</f>
        <v>1.050625</v>
      </c>
      <c r="H24" s="81" t="n">
        <f aca="false">B24+B24^2</f>
        <v>12</v>
      </c>
      <c r="I24" s="81" t="n">
        <f aca="false">E24*H24/G24</f>
        <v>26515.6286282855</v>
      </c>
      <c r="J24" s="55"/>
      <c r="K24" s="55"/>
    </row>
    <row r="25" customFormat="false" ht="14.25" hidden="false" customHeight="false" outlineLevel="0" collapsed="false">
      <c r="A25" s="0" t="n">
        <v>4</v>
      </c>
      <c r="B25" s="0" t="n">
        <f aca="false">B24+1</f>
        <v>4</v>
      </c>
      <c r="C25" s="80" t="n">
        <f aca="false">IF($B$5*$B$7&gt;$B25, $B$1*$B$4/$B$7, IF($B$5*$B$7=B25, $B$1+$B$1*$B$4/$B$7, " "))</f>
        <v>2500</v>
      </c>
      <c r="D25" s="17" t="n">
        <f aca="false">(1+$B$4/$B$7)^$B25</f>
        <v>1.103812890625</v>
      </c>
      <c r="E25" s="17" t="n">
        <f aca="false">C25/D25</f>
        <v>2264.87661199939</v>
      </c>
      <c r="F25" s="17" t="n">
        <f aca="false">B25*E25</f>
        <v>9059.50644799755</v>
      </c>
      <c r="G25" s="81" t="n">
        <f aca="false">(1+$B$4/$B$7)^2</f>
        <v>1.050625</v>
      </c>
      <c r="H25" s="81" t="n">
        <f aca="false">B25+B25^2</f>
        <v>20</v>
      </c>
      <c r="I25" s="81" t="n">
        <f aca="false">E25*H25/G25</f>
        <v>43114.8432980252</v>
      </c>
      <c r="J25" s="55"/>
      <c r="K25" s="55"/>
    </row>
    <row r="26" customFormat="false" ht="14.25" hidden="false" customHeight="false" outlineLevel="0" collapsed="false">
      <c r="A26" s="0" t="n">
        <v>5</v>
      </c>
      <c r="B26" s="0" t="n">
        <f aca="false">B25+1</f>
        <v>5</v>
      </c>
      <c r="C26" s="80" t="n">
        <f aca="false">IF($B$5*$B$7&gt;$B26, $B$1*$B$4/$B$7, IF($B$5*$B$7=B26, $B$1+$B$1*$B$4/$B$7, " "))</f>
        <v>2500</v>
      </c>
      <c r="D26" s="17" t="n">
        <f aca="false">(1+$B$4/$B$7)^$B26</f>
        <v>1.13140821289062</v>
      </c>
      <c r="E26" s="17" t="n">
        <f aca="false">C26/D26</f>
        <v>2209.63571902379</v>
      </c>
      <c r="F26" s="17" t="n">
        <f aca="false">B26*E26</f>
        <v>11048.178595119</v>
      </c>
      <c r="G26" s="81" t="n">
        <f aca="false">(1+$B$4/$B$7)^2</f>
        <v>1.050625</v>
      </c>
      <c r="H26" s="81" t="n">
        <f aca="false">B26+B26^2</f>
        <v>30</v>
      </c>
      <c r="I26" s="81" t="n">
        <f aca="false">E26*H26/G26</f>
        <v>63094.8926312565</v>
      </c>
      <c r="J26" s="55"/>
      <c r="K26" s="55"/>
    </row>
    <row r="27" customFormat="false" ht="14.25" hidden="false" customHeight="false" outlineLevel="0" collapsed="false">
      <c r="A27" s="0" t="n">
        <v>6</v>
      </c>
      <c r="B27" s="0" t="n">
        <f aca="false">B26+1</f>
        <v>6</v>
      </c>
      <c r="C27" s="80" t="n">
        <f aca="false">IF($B$5*$B$7&gt;$B27, $B$1*$B$4/$B$7, IF($B$5*$B$7=B27, $B$1+$B$1*$B$4/$B$7, " "))</f>
        <v>2500</v>
      </c>
      <c r="D27" s="17" t="n">
        <f aca="false">(1+$B$4/$B$7)^$B27</f>
        <v>1.15969341821289</v>
      </c>
      <c r="E27" s="17" t="n">
        <f aca="false">C27/D27</f>
        <v>2155.74216490126</v>
      </c>
      <c r="F27" s="17" t="n">
        <f aca="false">B27*E27</f>
        <v>12934.4529894076</v>
      </c>
      <c r="G27" s="81" t="n">
        <f aca="false">(1+$B$4/$B$7)^2</f>
        <v>1.050625</v>
      </c>
      <c r="H27" s="81" t="n">
        <f aca="false">B27+B27^2</f>
        <v>42</v>
      </c>
      <c r="I27" s="81" t="n">
        <f aca="false">E27*H27/G27</f>
        <v>86178.3899353747</v>
      </c>
      <c r="J27" s="55"/>
      <c r="K27" s="55"/>
    </row>
    <row r="28" customFormat="false" ht="14.25" hidden="false" customHeight="false" outlineLevel="0" collapsed="false">
      <c r="A28" s="0" t="n">
        <v>7</v>
      </c>
      <c r="B28" s="0" t="n">
        <f aca="false">B27+1</f>
        <v>7</v>
      </c>
      <c r="C28" s="80" t="n">
        <f aca="false">IF($B$5*$B$7&gt;$B28, $B$1*$B$4/$B$7, IF($B$5*$B$7=B28, $B$1+$B$1*$B$4/$B$7, " "))</f>
        <v>2500</v>
      </c>
      <c r="D28" s="17" t="n">
        <f aca="false">(1+$B$4/$B$7)^$B28</f>
        <v>1.18868575366821</v>
      </c>
      <c r="E28" s="17" t="n">
        <f aca="false">C28/D28</f>
        <v>2103.16308770855</v>
      </c>
      <c r="F28" s="17" t="n">
        <f aca="false">B28*E28</f>
        <v>14722.1416139598</v>
      </c>
      <c r="G28" s="81" t="n">
        <f aca="false">(1+$B$4/$B$7)^2</f>
        <v>1.050625</v>
      </c>
      <c r="H28" s="81" t="n">
        <f aca="false">B28+B28^2</f>
        <v>56</v>
      </c>
      <c r="I28" s="81" t="n">
        <f aca="false">E28*H28/G28</f>
        <v>112101.970647642</v>
      </c>
      <c r="J28" s="55"/>
      <c r="K28" s="55"/>
    </row>
    <row r="29" customFormat="false" ht="14.25" hidden="false" customHeight="false" outlineLevel="0" collapsed="false">
      <c r="A29" s="0" t="n">
        <v>8</v>
      </c>
      <c r="B29" s="0" t="n">
        <f aca="false">B28+1</f>
        <v>8</v>
      </c>
      <c r="C29" s="80" t="n">
        <f aca="false">IF($B$5*$B$7&gt;$B29, $B$1*$B$4/$B$7, IF($B$5*$B$7=B29, $B$1+$B$1*$B$4/$B$7, " "))</f>
        <v>2500</v>
      </c>
      <c r="D29" s="17" t="n">
        <f aca="false">(1+$B$4/$B$7)^$B29</f>
        <v>1.21840289750992</v>
      </c>
      <c r="E29" s="17" t="n">
        <f aca="false">C29/D29</f>
        <v>2051.86642703273</v>
      </c>
      <c r="F29" s="17" t="n">
        <f aca="false">B29*E29</f>
        <v>16414.9314162618</v>
      </c>
      <c r="G29" s="81" t="n">
        <f aca="false">(1+$B$4/$B$7)^2</f>
        <v>1.050625</v>
      </c>
      <c r="H29" s="81" t="n">
        <f aca="false">B29+B29^2</f>
        <v>72</v>
      </c>
      <c r="I29" s="81" t="n">
        <f aca="false">E29*H29/G29</f>
        <v>140615.712310631</v>
      </c>
      <c r="J29" s="55"/>
      <c r="K29" s="55"/>
    </row>
    <row r="30" customFormat="false" ht="14.25" hidden="false" customHeight="false" outlineLevel="0" collapsed="false">
      <c r="A30" s="0" t="n">
        <v>9</v>
      </c>
      <c r="B30" s="0" t="n">
        <f aca="false">B29+1</f>
        <v>9</v>
      </c>
      <c r="C30" s="80" t="n">
        <f aca="false">IF($B$5*$B$7&gt;$B30, $B$1*$B$4/$B$7, IF($B$5*$B$7=B30, $B$1+$B$1*$B$4/$B$7, " "))</f>
        <v>2500</v>
      </c>
      <c r="D30" s="17" t="n">
        <f aca="false">(1+$B$4/$B$7)^$B30</f>
        <v>1.24886296994767</v>
      </c>
      <c r="E30" s="17" t="n">
        <f aca="false">C30/D30</f>
        <v>2001.82090442218</v>
      </c>
      <c r="F30" s="17" t="n">
        <f aca="false">B30*E30</f>
        <v>18016.3881397996</v>
      </c>
      <c r="G30" s="81" t="n">
        <f aca="false">(1+$B$4/$B$7)^2</f>
        <v>1.050625</v>
      </c>
      <c r="H30" s="81" t="n">
        <f aca="false">B30+B30^2</f>
        <v>90</v>
      </c>
      <c r="I30" s="81" t="n">
        <f aca="false">E30*H30/G30</f>
        <v>171482.575988574</v>
      </c>
      <c r="J30" s="55"/>
      <c r="K30" s="55"/>
    </row>
    <row r="31" customFormat="false" ht="14.25" hidden="false" customHeight="false" outlineLevel="0" collapsed="false">
      <c r="A31" s="0" t="n">
        <v>10</v>
      </c>
      <c r="B31" s="0" t="n">
        <f aca="false">B30+1</f>
        <v>10</v>
      </c>
      <c r="C31" s="80" t="n">
        <f aca="false">IF($B$5*$B$7&gt;$B31, $B$1*$B$4/$B$7, IF($B$5*$B$7=B31, $B$1+$B$1*$B$4/$B$7, " "))</f>
        <v>102500</v>
      </c>
      <c r="D31" s="17" t="n">
        <f aca="false">(1+$B$4/$B$7)^$B31</f>
        <v>1.28008454419636</v>
      </c>
      <c r="E31" s="17" t="n">
        <f aca="false">C31/D31</f>
        <v>80072.8361768871</v>
      </c>
      <c r="F31" s="17" t="n">
        <f aca="false">B31*E31</f>
        <v>800728.361768871</v>
      </c>
      <c r="G31" s="81" t="n">
        <f aca="false">(1+$B$4/$B$7)^2</f>
        <v>1.050625</v>
      </c>
      <c r="H31" s="81" t="n">
        <f aca="false">B31+B31^2</f>
        <v>110</v>
      </c>
      <c r="I31" s="81" t="n">
        <f aca="false">E31*H31/G31</f>
        <v>8383592.60388586</v>
      </c>
      <c r="J31" s="55"/>
      <c r="K31" s="55"/>
    </row>
    <row r="32" customFormat="false" ht="14.25" hidden="false" customHeight="false" outlineLevel="0" collapsed="false">
      <c r="C32" s="113"/>
      <c r="G32" s="55"/>
      <c r="H32" s="55"/>
      <c r="I32" s="55"/>
      <c r="J32" s="55"/>
      <c r="K32" s="55"/>
    </row>
    <row r="33" customFormat="false" ht="14.25" hidden="false" customHeight="false" outlineLevel="0" collapsed="false">
      <c r="A33" s="82"/>
      <c r="B33" s="82"/>
      <c r="C33" s="82"/>
      <c r="D33" s="82"/>
      <c r="E33" s="82"/>
      <c r="F33" s="82"/>
      <c r="G33" s="114"/>
      <c r="H33" s="114"/>
      <c r="I33" s="114"/>
      <c r="J33" s="55"/>
      <c r="K33" s="55"/>
    </row>
    <row r="34" customFormat="false" ht="14.25" hidden="false" customHeight="false" outlineLevel="0" collapsed="false">
      <c r="B34" s="0" t="s">
        <v>6</v>
      </c>
      <c r="G34" s="55"/>
      <c r="H34" s="55"/>
      <c r="I34" s="55"/>
      <c r="J34" s="55"/>
      <c r="K34" s="55"/>
    </row>
    <row r="35" customFormat="false" ht="14.25" hidden="false" customHeight="false" outlineLevel="0" collapsed="false">
      <c r="B35" s="0" t="s">
        <v>6</v>
      </c>
      <c r="C35" s="0" t="s">
        <v>6</v>
      </c>
      <c r="D35" s="83" t="s">
        <v>113</v>
      </c>
      <c r="E35" s="115" t="n">
        <f aca="false">SUM(E22:E31)</f>
        <v>100000</v>
      </c>
      <c r="F35" s="116" t="n">
        <f aca="false">SUM(F22:F31)</f>
        <v>897086.552924521</v>
      </c>
      <c r="G35" s="55"/>
      <c r="H35" s="55"/>
      <c r="I35" s="117" t="n">
        <f aca="false">SUM(I22:I31)</f>
        <v>9044928.87405224</v>
      </c>
      <c r="J35" s="87" t="s">
        <v>98</v>
      </c>
      <c r="K35" s="55"/>
    </row>
    <row r="36" customFormat="false" ht="14.25" hidden="false" customHeight="false" outlineLevel="0" collapsed="false">
      <c r="E36" s="88" t="s">
        <v>99</v>
      </c>
      <c r="F36" s="89" t="n">
        <f aca="false">F35/E35</f>
        <v>8.97086552924521</v>
      </c>
      <c r="G36" s="94" t="s">
        <v>102</v>
      </c>
      <c r="H36" s="90"/>
      <c r="I36" s="118" t="n">
        <f aca="false">I35/E35</f>
        <v>90.4492887405223</v>
      </c>
      <c r="J36" s="87" t="s">
        <v>99</v>
      </c>
      <c r="K36" s="55"/>
    </row>
    <row r="37" customFormat="false" ht="14.25" hidden="false" customHeight="false" outlineLevel="0" collapsed="false">
      <c r="H37" s="95"/>
      <c r="I37" s="55"/>
      <c r="J37" s="55"/>
      <c r="K37" s="55"/>
    </row>
    <row r="38" customFormat="false" ht="14.25" hidden="false" customHeight="false" outlineLevel="0" collapsed="false">
      <c r="A38" s="103" t="s">
        <v>114</v>
      </c>
      <c r="B38" s="103"/>
      <c r="H38" s="55"/>
      <c r="I38" s="55"/>
      <c r="J38" s="55"/>
      <c r="K38" s="55"/>
    </row>
    <row r="39" customFormat="false" ht="14.25" hidden="false" customHeight="false" outlineLevel="0" collapsed="false">
      <c r="A39" s="108" t="n">
        <v>1</v>
      </c>
      <c r="B39" s="109" t="n">
        <v>2</v>
      </c>
      <c r="C39" s="105" t="n">
        <v>3</v>
      </c>
      <c r="D39" s="105" t="n">
        <v>4</v>
      </c>
      <c r="E39" s="105" t="n">
        <v>5</v>
      </c>
      <c r="F39" s="105" t="n">
        <v>6</v>
      </c>
      <c r="G39" s="106" t="n">
        <v>7</v>
      </c>
      <c r="H39" s="106" t="n">
        <v>8</v>
      </c>
      <c r="I39" s="107" t="s">
        <v>88</v>
      </c>
      <c r="J39" s="55"/>
    </row>
    <row r="40" customFormat="false" ht="14.25" hidden="false" customHeight="false" outlineLevel="0" collapsed="false">
      <c r="A40" s="108" t="s">
        <v>89</v>
      </c>
      <c r="B40" s="109" t="s">
        <v>90</v>
      </c>
      <c r="C40" s="109" t="s">
        <v>91</v>
      </c>
      <c r="D40" s="109" t="s">
        <v>92</v>
      </c>
      <c r="E40" s="109" t="s">
        <v>93</v>
      </c>
      <c r="F40" s="109" t="s">
        <v>94</v>
      </c>
      <c r="G40" s="119" t="s">
        <v>95</v>
      </c>
      <c r="H40" s="119" t="s">
        <v>96</v>
      </c>
      <c r="I40" s="120"/>
      <c r="J40" s="55"/>
    </row>
    <row r="41" customFormat="false" ht="14.25" hidden="false" customHeight="false" outlineLevel="0" collapsed="false">
      <c r="A41" s="0" t="n">
        <v>1</v>
      </c>
      <c r="B41" s="0" t="n">
        <v>1</v>
      </c>
      <c r="C41" s="80" t="n">
        <f aca="false">IF($B$5*$B$7&gt;$B41, $B$1*$B$4/$B$7, IF($B$5*$B$7=B41, $B$1+$B$1*$B$4/$B$7, " "))</f>
        <v>2500</v>
      </c>
      <c r="D41" s="17" t="n">
        <f aca="false">(1+$B$4/$B$7+$F$1)^$B41</f>
        <v>1.0275</v>
      </c>
      <c r="E41" s="17" t="n">
        <f aca="false">C41/D41</f>
        <v>2433.0900243309</v>
      </c>
      <c r="F41" s="17" t="n">
        <f aca="false">B41*E41</f>
        <v>2433.0900243309</v>
      </c>
      <c r="G41" s="81" t="n">
        <f aca="false">(1+$B$4/$B$7+$F$1)^2</f>
        <v>1.05575625</v>
      </c>
      <c r="H41" s="81" t="n">
        <f aca="false">B41+B41^2</f>
        <v>2</v>
      </c>
      <c r="I41" s="81" t="n">
        <f aca="false">E41*H41/G41</f>
        <v>4609.18895688451</v>
      </c>
      <c r="J41" s="55"/>
    </row>
    <row r="42" customFormat="false" ht="14.25" hidden="false" customHeight="false" outlineLevel="0" collapsed="false">
      <c r="A42" s="0" t="n">
        <v>2</v>
      </c>
      <c r="B42" s="0" t="n">
        <f aca="false">B41+1</f>
        <v>2</v>
      </c>
      <c r="C42" s="80" t="n">
        <f aca="false">IF($B$5*$B$7&gt;$B42, $B$1*$B$4/$B$7, IF($B$5*$B$7=B42, $B$1+$B$1*$B$4/$B$7, " "))</f>
        <v>2500</v>
      </c>
      <c r="D42" s="17" t="n">
        <f aca="false">(1+$B$4/$B$7+$F$1)^$B42</f>
        <v>1.05575625</v>
      </c>
      <c r="E42" s="17" t="n">
        <f aca="false">C42/D42</f>
        <v>2367.97082659942</v>
      </c>
      <c r="F42" s="17" t="n">
        <f aca="false">B42*E42</f>
        <v>4735.94165319883</v>
      </c>
      <c r="G42" s="81" t="n">
        <f aca="false">(1+$B$4/$B$7+$F$1)^2</f>
        <v>1.05575625</v>
      </c>
      <c r="H42" s="81" t="n">
        <f aca="false">B42+B42^2</f>
        <v>6</v>
      </c>
      <c r="I42" s="81" t="n">
        <f aca="false">E42*H42/G42</f>
        <v>13457.4860055022</v>
      </c>
      <c r="J42" s="55"/>
    </row>
    <row r="43" customFormat="false" ht="14.25" hidden="false" customHeight="false" outlineLevel="0" collapsed="false">
      <c r="A43" s="0" t="n">
        <v>3</v>
      </c>
      <c r="B43" s="0" t="n">
        <f aca="false">B42+1</f>
        <v>3</v>
      </c>
      <c r="C43" s="80" t="n">
        <f aca="false">IF($B$5*$B$7&gt;$B43, $B$1*$B$4/$B$7, IF($B$5*$B$7=B43, $B$1+$B$1*$B$4/$B$7, " "))</f>
        <v>2500</v>
      </c>
      <c r="D43" s="17" t="n">
        <f aca="false">(1+$B$4/$B$7+$F$1)^$B43</f>
        <v>1.084789546875</v>
      </c>
      <c r="E43" s="17" t="n">
        <f aca="false">C43/D43</f>
        <v>2304.59447844226</v>
      </c>
      <c r="F43" s="17" t="n">
        <f aca="false">B43*E43</f>
        <v>6913.78343532677</v>
      </c>
      <c r="G43" s="81" t="n">
        <f aca="false">(1+$B$4/$B$7+$F$1)^2</f>
        <v>1.05575625</v>
      </c>
      <c r="H43" s="81" t="n">
        <f aca="false">B43+B43^2</f>
        <v>12</v>
      </c>
      <c r="I43" s="81" t="n">
        <f aca="false">E43*H43/G43</f>
        <v>26194.6199620481</v>
      </c>
      <c r="J43" s="55"/>
    </row>
    <row r="44" customFormat="false" ht="14.25" hidden="false" customHeight="false" outlineLevel="0" collapsed="false">
      <c r="A44" s="0" t="n">
        <v>4</v>
      </c>
      <c r="B44" s="0" t="n">
        <f aca="false">B43+1</f>
        <v>4</v>
      </c>
      <c r="C44" s="80" t="n">
        <f aca="false">IF($B$5*$B$7&gt;$B44, $B$1*$B$4/$B$7, IF($B$5*$B$7=B44, $B$1+$B$1*$B$4/$B$7, " "))</f>
        <v>2500</v>
      </c>
      <c r="D44" s="17" t="n">
        <f aca="false">(1+$B$4/$B$7+$F$1)^$B44</f>
        <v>1.11462125941406</v>
      </c>
      <c r="E44" s="17" t="n">
        <f aca="false">C44/D44</f>
        <v>2242.91433425037</v>
      </c>
      <c r="F44" s="17" t="n">
        <f aca="false">B44*E44</f>
        <v>8971.65733700148</v>
      </c>
      <c r="G44" s="81" t="n">
        <f aca="false">(1+$B$4/$B$7+$F$1)^2</f>
        <v>1.05575625</v>
      </c>
      <c r="H44" s="81" t="n">
        <f aca="false">B44+B44^2</f>
        <v>20</v>
      </c>
      <c r="I44" s="81" t="n">
        <f aca="false">E44*H44/G44</f>
        <v>42489.2456805322</v>
      </c>
      <c r="J44" s="55"/>
    </row>
    <row r="45" customFormat="false" ht="14.25" hidden="false" customHeight="false" outlineLevel="0" collapsed="false">
      <c r="A45" s="0" t="n">
        <v>5</v>
      </c>
      <c r="B45" s="0" t="n">
        <f aca="false">B44+1</f>
        <v>5</v>
      </c>
      <c r="C45" s="80" t="n">
        <f aca="false">IF($B$5*$B$7&gt;$B45, $B$1*$B$4/$B$7, IF($B$5*$B$7=B45, $B$1+$B$1*$B$4/$B$7, " "))</f>
        <v>2500</v>
      </c>
      <c r="D45" s="17" t="n">
        <f aca="false">(1+$B$4/$B$7+$F$1)^$B45</f>
        <v>1.14527334404795</v>
      </c>
      <c r="E45" s="17" t="n">
        <f aca="false">C45/D45</f>
        <v>2182.88499683734</v>
      </c>
      <c r="F45" s="17" t="n">
        <f aca="false">B45*E45</f>
        <v>10914.4249841867</v>
      </c>
      <c r="G45" s="81" t="n">
        <f aca="false">(1+$B$4/$B$7+$F$1)^2</f>
        <v>1.05575625</v>
      </c>
      <c r="H45" s="81" t="n">
        <f aca="false">B45+B45^2</f>
        <v>30</v>
      </c>
      <c r="I45" s="81" t="n">
        <f aca="false">E45*H45/G45</f>
        <v>62028.0958839887</v>
      </c>
      <c r="J45" s="55"/>
    </row>
    <row r="46" customFormat="false" ht="14.25" hidden="false" customHeight="false" outlineLevel="0" collapsed="false">
      <c r="A46" s="0" t="n">
        <v>6</v>
      </c>
      <c r="B46" s="0" t="n">
        <f aca="false">B45+1</f>
        <v>6</v>
      </c>
      <c r="C46" s="80" t="n">
        <f aca="false">IF($B$5*$B$7&gt;$B46, $B$1*$B$4/$B$7, IF($B$5*$B$7=B46, $B$1+$B$1*$B$4/$B$7, " "))</f>
        <v>2500</v>
      </c>
      <c r="D46" s="17" t="n">
        <f aca="false">(1+$B$4/$B$7+$F$1)^$B46</f>
        <v>1.17676836100927</v>
      </c>
      <c r="E46" s="17" t="n">
        <f aca="false">C46/D46</f>
        <v>2124.46228402661</v>
      </c>
      <c r="F46" s="17" t="n">
        <f aca="false">B46*E46</f>
        <v>12746.7737041597</v>
      </c>
      <c r="G46" s="81" t="n">
        <f aca="false">(1+$B$4/$B$7+$F$1)^2</f>
        <v>1.05575625</v>
      </c>
      <c r="H46" s="81" t="n">
        <f aca="false">B46+B46^2</f>
        <v>42</v>
      </c>
      <c r="I46" s="81" t="n">
        <f aca="false">E46*H46/G46</f>
        <v>84515.1671412012</v>
      </c>
      <c r="J46" s="55"/>
    </row>
    <row r="47" customFormat="false" ht="14.25" hidden="false" customHeight="false" outlineLevel="0" collapsed="false">
      <c r="A47" s="0" t="n">
        <v>7</v>
      </c>
      <c r="B47" s="0" t="n">
        <f aca="false">B46+1</f>
        <v>7</v>
      </c>
      <c r="C47" s="80" t="n">
        <f aca="false">IF($B$5*$B$7&gt;$B47, $B$1*$B$4/$B$7, IF($B$5*$B$7=B47, $B$1+$B$1*$B$4/$B$7, " "))</f>
        <v>2500</v>
      </c>
      <c r="D47" s="17" t="n">
        <f aca="false">(1+$B$4/$B$7+$F$1)^$B47</f>
        <v>1.20912949093702</v>
      </c>
      <c r="E47" s="17" t="n">
        <f aca="false">C47/D47</f>
        <v>2067.60319613296</v>
      </c>
      <c r="F47" s="17" t="n">
        <f aca="false">B47*E47</f>
        <v>14473.2223729307</v>
      </c>
      <c r="G47" s="81" t="n">
        <f aca="false">(1+$B$4/$B$7+$F$1)^2</f>
        <v>1.05575625</v>
      </c>
      <c r="H47" s="81" t="n">
        <f aca="false">B47+B47^2</f>
        <v>56</v>
      </c>
      <c r="I47" s="81" t="n">
        <f aca="false">E47*H47/G47</f>
        <v>109670.938707155</v>
      </c>
      <c r="J47" s="55"/>
    </row>
    <row r="48" customFormat="false" ht="14.25" hidden="false" customHeight="false" outlineLevel="0" collapsed="false">
      <c r="A48" s="0" t="n">
        <v>8</v>
      </c>
      <c r="B48" s="0" t="n">
        <f aca="false">B47+1</f>
        <v>8</v>
      </c>
      <c r="C48" s="80" t="n">
        <f aca="false">IF($B$5*$B$7&gt;$B48, $B$1*$B$4/$B$7, IF($B$5*$B$7=B48, $B$1+$B$1*$B$4/$B$7, " "))</f>
        <v>2500</v>
      </c>
      <c r="D48" s="17" t="n">
        <f aca="false">(1+$B$4/$B$7+$F$1)^$B48</f>
        <v>1.24238055193779</v>
      </c>
      <c r="E48" s="17" t="n">
        <f aca="false">C48/D48</f>
        <v>2012.26588431431</v>
      </c>
      <c r="F48" s="17" t="n">
        <f aca="false">B48*E48</f>
        <v>16098.1270745145</v>
      </c>
      <c r="G48" s="81" t="n">
        <f aca="false">(1+$B$4/$B$7+$F$1)^2</f>
        <v>1.05575625</v>
      </c>
      <c r="H48" s="81" t="n">
        <f aca="false">B48+B48^2</f>
        <v>72</v>
      </c>
      <c r="I48" s="81" t="n">
        <f aca="false">E48*H48/G48</f>
        <v>137231.622991226</v>
      </c>
      <c r="J48" s="55"/>
    </row>
    <row r="49" customFormat="false" ht="14.25" hidden="false" customHeight="false" outlineLevel="0" collapsed="false">
      <c r="A49" s="0" t="n">
        <v>9</v>
      </c>
      <c r="B49" s="0" t="n">
        <f aca="false">B48+1</f>
        <v>9</v>
      </c>
      <c r="C49" s="80" t="n">
        <f aca="false">IF($B$5*$B$7&gt;$B49, $B$1*$B$4/$B$7, IF($B$5*$B$7=B49, $B$1+$B$1*$B$4/$B$7, " "))</f>
        <v>2500</v>
      </c>
      <c r="D49" s="17" t="n">
        <f aca="false">(1+$B$4/$B$7+$F$1)^$B49</f>
        <v>1.27654601711608</v>
      </c>
      <c r="E49" s="17" t="n">
        <f aca="false">C49/D49</f>
        <v>1958.40961977062</v>
      </c>
      <c r="F49" s="17" t="n">
        <f aca="false">B49*E49</f>
        <v>17625.6865779356</v>
      </c>
      <c r="G49" s="81" t="n">
        <f aca="false">(1+$B$4/$B$7+$F$1)^2</f>
        <v>1.05575625</v>
      </c>
      <c r="H49" s="81" t="n">
        <f aca="false">B49+B49^2</f>
        <v>90</v>
      </c>
      <c r="I49" s="81" t="n">
        <f aca="false">E49*H49/G49</f>
        <v>166948.446461346</v>
      </c>
      <c r="J49" s="55"/>
    </row>
    <row r="50" customFormat="false" ht="14.25" hidden="false" customHeight="false" outlineLevel="0" collapsed="false">
      <c r="A50" s="0" t="n">
        <v>10</v>
      </c>
      <c r="B50" s="0" t="n">
        <f aca="false">B49+1</f>
        <v>10</v>
      </c>
      <c r="C50" s="80" t="n">
        <f aca="false">IF($B$5*$B$7&gt;$B50, $B$1*$B$4/$B$7, IF($B$5*$B$7=B50, $B$1+$B$1*$B$4/$B$7, " "))</f>
        <v>102500</v>
      </c>
      <c r="D50" s="17" t="n">
        <f aca="false">(1+$B$4/$B$7+$F$1)^$B50</f>
        <v>1.31165103258677</v>
      </c>
      <c r="E50" s="17" t="n">
        <f aca="false">C50/D50</f>
        <v>78145.7853144482</v>
      </c>
      <c r="F50" s="17" t="n">
        <f aca="false">B50*E50</f>
        <v>781457.853144482</v>
      </c>
      <c r="G50" s="81" t="n">
        <f aca="false">(1+$B$4/$B$7+$F$1)^2</f>
        <v>1.05575625</v>
      </c>
      <c r="H50" s="81" t="n">
        <f aca="false">B50+B50^2</f>
        <v>110</v>
      </c>
      <c r="I50" s="81" t="n">
        <f aca="false">E50*H50/G50</f>
        <v>8142065.35323783</v>
      </c>
      <c r="J50" s="55"/>
    </row>
    <row r="51" customFormat="false" ht="14.25" hidden="false" customHeight="false" outlineLevel="0" collapsed="false">
      <c r="C51" s="113"/>
      <c r="G51" s="55"/>
      <c r="H51" s="55"/>
      <c r="I51" s="55"/>
      <c r="J51" s="55"/>
    </row>
    <row r="52" customFormat="false" ht="14.25" hidden="false" customHeight="false" outlineLevel="0" collapsed="false">
      <c r="A52" s="82"/>
      <c r="B52" s="82"/>
      <c r="C52" s="82"/>
      <c r="D52" s="82"/>
      <c r="E52" s="82"/>
      <c r="F52" s="82"/>
      <c r="G52" s="114"/>
      <c r="H52" s="114"/>
      <c r="I52" s="114"/>
      <c r="J52" s="55"/>
    </row>
    <row r="53" customFormat="false" ht="14.25" hidden="false" customHeight="false" outlineLevel="0" collapsed="false">
      <c r="B53" s="0" t="s">
        <v>6</v>
      </c>
      <c r="G53" s="55"/>
      <c r="H53" s="55"/>
      <c r="I53" s="55"/>
      <c r="J53" s="55"/>
    </row>
    <row r="54" customFormat="false" ht="14.25" hidden="false" customHeight="false" outlineLevel="0" collapsed="false">
      <c r="B54" s="0" t="s">
        <v>6</v>
      </c>
      <c r="C54" s="0" t="s">
        <v>6</v>
      </c>
      <c r="D54" s="83" t="s">
        <v>113</v>
      </c>
      <c r="E54" s="115" t="n">
        <f aca="false">SUM(E41:E50)</f>
        <v>97839.980959153</v>
      </c>
      <c r="F54" s="116" t="n">
        <f aca="false">SUM(F41:F50)</f>
        <v>876370.560308067</v>
      </c>
      <c r="G54" s="55"/>
      <c r="H54" s="55"/>
      <c r="I54" s="117" t="n">
        <f aca="false">SUM(I41:I50)</f>
        <v>8789210.16502771</v>
      </c>
      <c r="J54" s="87" t="s">
        <v>98</v>
      </c>
    </row>
    <row r="55" customFormat="false" ht="14.25" hidden="false" customHeight="false" outlineLevel="0" collapsed="false">
      <c r="E55" s="88" t="s">
        <v>99</v>
      </c>
      <c r="F55" s="89" t="n">
        <f aca="false">F54/E54</f>
        <v>8.95718244951357</v>
      </c>
      <c r="G55" s="94" t="s">
        <v>102</v>
      </c>
      <c r="H55" s="90"/>
      <c r="I55" s="118" t="n">
        <f aca="false">I54/E54</f>
        <v>89.8325007718175</v>
      </c>
      <c r="J55" s="87" t="s">
        <v>99</v>
      </c>
    </row>
    <row r="56" customFormat="false" ht="14.25" hidden="false" customHeight="false" outlineLevel="0" collapsed="false">
      <c r="H56" s="95"/>
      <c r="I56" s="55"/>
      <c r="J56" s="55"/>
    </row>
  </sheetData>
  <mergeCells count="2">
    <mergeCell ref="A19:B19"/>
    <mergeCell ref="A38:B38"/>
  </mergeCells>
  <dataValidations count="2">
    <dataValidation allowBlank="true" error="The frequency is restricted to either 1 or 2 (annual or semiannual)." operator="between" showDropDown="false" showErrorMessage="true" showInputMessage="true" sqref="B7" type="custom">
      <formula1>OR(B7=1,B7=2)=1</formula1>
      <formula2>0</formula2>
    </dataValidation>
    <dataValidation allowBlank="true" error="These calculations only work on a payment date, so this value must be a positive integer between 1 and 20." operator="between" prompt="The life of the bond must be between 1 and 20 years." showDropDown="false" showErrorMessage="true" showInputMessage="false" sqref="B5" type="whole">
      <formula1>1</formula1>
      <formula2>20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33"/>
  <sheetViews>
    <sheetView showFormulas="false" showGridLines="true" showRowColHeaders="true" showZeros="true" rightToLeft="false" tabSelected="true" showOutlineSymbols="true" defaultGridColor="true" view="normal" topLeftCell="A1" colorId="64" zoomScale="115" zoomScaleNormal="115" zoomScalePageLayoutView="100" workbookViewId="0">
      <selection pane="topLeft" activeCell="B18" activeCellId="0" sqref="B18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23.01"/>
    <col collapsed="false" customWidth="true" hidden="false" outlineLevel="0" max="2" min="2" style="0" width="17.2"/>
    <col collapsed="false" customWidth="true" hidden="false" outlineLevel="0" max="3" min="3" style="0" width="19.53"/>
    <col collapsed="false" customWidth="true" hidden="false" outlineLevel="0" max="4" min="4" style="0" width="9.86"/>
    <col collapsed="false" customWidth="true" hidden="false" outlineLevel="0" max="5" min="5" style="0" width="10.27"/>
    <col collapsed="false" customWidth="true" hidden="false" outlineLevel="0" max="6" min="6" style="0" width="12.86"/>
    <col collapsed="false" customWidth="true" hidden="false" outlineLevel="0" max="7" min="7" style="0" width="11.27"/>
    <col collapsed="false" customWidth="true" hidden="false" outlineLevel="0" max="8" min="8" style="0" width="14.86"/>
    <col collapsed="false" customWidth="true" hidden="false" outlineLevel="0" max="9" min="9" style="0" width="17.86"/>
    <col collapsed="false" customWidth="true" hidden="false" outlineLevel="0" max="10" min="10" style="0" width="19.53"/>
    <col collapsed="false" customWidth="true" hidden="false" outlineLevel="0" max="11" min="11" style="0" width="13.4"/>
    <col collapsed="false" customWidth="true" hidden="false" outlineLevel="0" max="12" min="12" style="0" width="14.66"/>
  </cols>
  <sheetData>
    <row r="1" customFormat="false" ht="14.25" hidden="false" customHeight="false" outlineLevel="0" collapsed="false">
      <c r="A1" s="121" t="s">
        <v>115</v>
      </c>
      <c r="B1" s="122" t="n">
        <f aca="false">'Immunize Part 1'!$F$9</f>
        <v>97839.9809591528</v>
      </c>
    </row>
    <row r="2" customFormat="false" ht="14.25" hidden="false" customHeight="false" outlineLevel="0" collapsed="false">
      <c r="A2" s="3"/>
    </row>
    <row r="3" customFormat="false" ht="14.25" hidden="false" customHeight="false" outlineLevel="0" collapsed="false">
      <c r="A3" s="121" t="s">
        <v>116</v>
      </c>
      <c r="B3" s="123" t="n">
        <f aca="false">'Immunize Part 1'!$B$12</f>
        <v>8.95718244951357</v>
      </c>
      <c r="H3" s="0" t="s">
        <v>6</v>
      </c>
    </row>
    <row r="5" customFormat="false" ht="14.25" hidden="false" customHeight="false" outlineLevel="0" collapsed="false">
      <c r="A5" s="124" t="s">
        <v>117</v>
      </c>
      <c r="B5" s="125" t="s">
        <v>118</v>
      </c>
      <c r="C5" s="125"/>
      <c r="D5" s="124"/>
      <c r="E5" s="124"/>
      <c r="F5" s="124"/>
      <c r="G5" s="124"/>
      <c r="H5" s="124"/>
      <c r="I5" s="124"/>
      <c r="J5" s="124"/>
      <c r="K5" s="124"/>
    </row>
    <row r="6" customFormat="false" ht="14.25" hidden="false" customHeight="false" outlineLevel="0" collapsed="false">
      <c r="A6" s="121" t="s">
        <v>119</v>
      </c>
      <c r="B6" s="121" t="s">
        <v>120</v>
      </c>
      <c r="C6" s="121" t="s">
        <v>121</v>
      </c>
      <c r="D6" s="121" t="s">
        <v>122</v>
      </c>
      <c r="E6" s="121" t="s">
        <v>72</v>
      </c>
      <c r="F6" s="121" t="s">
        <v>75</v>
      </c>
      <c r="G6" s="121" t="s">
        <v>123</v>
      </c>
      <c r="H6" s="121" t="s">
        <v>124</v>
      </c>
      <c r="I6" s="121" t="s">
        <v>125</v>
      </c>
      <c r="J6" s="121" t="s">
        <v>126</v>
      </c>
      <c r="K6" s="121" t="s">
        <v>127</v>
      </c>
    </row>
    <row r="7" customFormat="false" ht="14.25" hidden="false" customHeight="false" outlineLevel="0" collapsed="false">
      <c r="A7" s="124" t="n">
        <v>1</v>
      </c>
      <c r="B7" s="126" t="n">
        <v>43252</v>
      </c>
      <c r="C7" s="126" t="n">
        <v>47437</v>
      </c>
      <c r="D7" s="127" t="n">
        <v>0.0675</v>
      </c>
      <c r="E7" s="128" t="n">
        <v>0.05125</v>
      </c>
      <c r="F7" s="5" t="n">
        <v>2</v>
      </c>
      <c r="G7" s="17" t="n">
        <f aca="false">PRICE(B7,C7,D7,E7,100,F7)</f>
        <v>113.945689354828</v>
      </c>
      <c r="H7" s="17" t="n">
        <v>8.36964514345697</v>
      </c>
      <c r="I7" s="100" t="n">
        <v>0.258984930485834</v>
      </c>
      <c r="J7" s="129" t="n">
        <f aca="false">$B$1*I7</f>
        <v>25339.0806674415</v>
      </c>
      <c r="K7" s="130" t="n">
        <f aca="false">J7/G7*100</f>
        <v>22237.8580628314</v>
      </c>
      <c r="L7" s="131" t="s">
        <v>6</v>
      </c>
    </row>
    <row r="8" customFormat="false" ht="14.25" hidden="false" customHeight="false" outlineLevel="0" collapsed="false">
      <c r="A8" s="124" t="n">
        <v>2</v>
      </c>
      <c r="B8" s="126" t="n">
        <v>43252</v>
      </c>
      <c r="C8" s="126" t="n">
        <v>47223</v>
      </c>
      <c r="D8" s="127" t="n">
        <v>0.06125</v>
      </c>
      <c r="E8" s="128" t="n">
        <v>0.0325</v>
      </c>
      <c r="F8" s="5" t="n">
        <v>2</v>
      </c>
      <c r="G8" s="17" t="n">
        <f aca="false">PRICE(B8,C8,D8,E8,100,F8)</f>
        <v>126.150653754144</v>
      </c>
      <c r="H8" s="17" t="n">
        <v>8.39126166667874</v>
      </c>
      <c r="I8" s="100" t="n">
        <v>0.199608859013361</v>
      </c>
      <c r="J8" s="129" t="n">
        <f aca="false">$B$1*I8</f>
        <v>19529.7269651455</v>
      </c>
      <c r="K8" s="130" t="n">
        <f aca="false">J8/G8*100</f>
        <v>15481.2728939218</v>
      </c>
      <c r="L8" s="131" t="s">
        <v>6</v>
      </c>
    </row>
    <row r="9" customFormat="false" ht="14.25" hidden="false" customHeight="false" outlineLevel="0" collapsed="false">
      <c r="A9" s="124" t="n">
        <v>3</v>
      </c>
      <c r="B9" s="126" t="n">
        <v>43252</v>
      </c>
      <c r="C9" s="126" t="n">
        <v>48167</v>
      </c>
      <c r="D9" s="127" t="n">
        <v>0.07</v>
      </c>
      <c r="E9" s="128" t="n">
        <v>0.035</v>
      </c>
      <c r="F9" s="5" t="n">
        <v>2</v>
      </c>
      <c r="G9" s="17" t="n">
        <f aca="false">PRICE(B9,C9,D9,E9,100,F9)</f>
        <v>137.301459131646</v>
      </c>
      <c r="H9" s="17" t="n">
        <v>9.63150285616303</v>
      </c>
      <c r="I9" s="100" t="n">
        <v>0.177167699252874</v>
      </c>
      <c r="J9" s="129" t="n">
        <f aca="false">$B$1*I9</f>
        <v>17334.0843214781</v>
      </c>
      <c r="K9" s="130" t="n">
        <f aca="false">J9/G9*100</f>
        <v>12624.8362042955</v>
      </c>
      <c r="L9" s="131" t="s">
        <v>6</v>
      </c>
    </row>
    <row r="10" customFormat="false" ht="14.25" hidden="false" customHeight="false" outlineLevel="0" collapsed="false">
      <c r="A10" s="124" t="n">
        <v>4</v>
      </c>
      <c r="B10" s="126" t="n">
        <v>43252</v>
      </c>
      <c r="C10" s="126" t="n">
        <v>48580</v>
      </c>
      <c r="D10" s="127" t="n">
        <v>0.08225</v>
      </c>
      <c r="E10" s="128" t="n">
        <v>0.0455</v>
      </c>
      <c r="F10" s="5" t="n">
        <v>2</v>
      </c>
      <c r="G10" s="17" t="n">
        <f aca="false">PRICE(B10,C10,D10,E10,100,F10)</f>
        <v>138.854249356444</v>
      </c>
      <c r="H10" s="17" t="n">
        <v>9.44592694185485</v>
      </c>
      <c r="I10" s="100" t="n">
        <v>0.180525554978423</v>
      </c>
      <c r="J10" s="129" t="n">
        <f aca="false">$B$1*I10</f>
        <v>17662.6168617294</v>
      </c>
      <c r="K10" s="130" t="n">
        <f aca="false">J10/G10*100</f>
        <v>12720.2566313897</v>
      </c>
      <c r="L10" s="131" t="s">
        <v>6</v>
      </c>
    </row>
    <row r="11" customFormat="false" ht="14.25" hidden="false" customHeight="false" outlineLevel="0" collapsed="false">
      <c r="A11" s="124" t="n">
        <v>5</v>
      </c>
      <c r="B11" s="126" t="n">
        <v>43252</v>
      </c>
      <c r="C11" s="126" t="n">
        <v>48136</v>
      </c>
      <c r="D11" s="127" t="n">
        <v>0.0775</v>
      </c>
      <c r="E11" s="128" t="n">
        <v>0.04</v>
      </c>
      <c r="F11" s="5" t="n">
        <v>2</v>
      </c>
      <c r="G11" s="17" t="n">
        <f aca="false">PRICE(B11,C11,D11,E11,100,F11)</f>
        <v>138.539486194427</v>
      </c>
      <c r="H11" s="17" t="n">
        <v>9.26977033686318</v>
      </c>
      <c r="I11" s="100" t="n">
        <v>0.183712956269508</v>
      </c>
      <c r="J11" s="129" t="n">
        <f aca="false">$B$1*I11</f>
        <v>17974.4721433584</v>
      </c>
      <c r="K11" s="130" t="n">
        <f aca="false">J11/G11*100</f>
        <v>12974.2592795046</v>
      </c>
      <c r="L11" s="131" t="s">
        <v>6</v>
      </c>
    </row>
    <row r="12" customFormat="false" ht="14.25" hidden="false" customHeight="false" outlineLevel="0" collapsed="false">
      <c r="E12" s="132"/>
    </row>
    <row r="13" customFormat="false" ht="28.5" hidden="false" customHeight="false" outlineLevel="0" collapsed="false">
      <c r="G13" s="133" t="s">
        <v>128</v>
      </c>
      <c r="H13" s="134" t="n">
        <f aca="false">SUMPRODUCT(H7:H11,I7:I11)</f>
        <v>8.95718145</v>
      </c>
      <c r="I13" s="135" t="n">
        <f aca="false">SUM(I7:I11)</f>
        <v>1</v>
      </c>
      <c r="J13" s="135" t="n">
        <f aca="false">SUM(J7:J11)</f>
        <v>97839.9809591528</v>
      </c>
      <c r="K13" s="136" t="s">
        <v>129</v>
      </c>
    </row>
    <row r="14" customFormat="false" ht="14.25" hidden="false" customHeight="false" outlineLevel="0" collapsed="false">
      <c r="H14" s="137" t="s">
        <v>6</v>
      </c>
      <c r="I14" s="137" t="s">
        <v>6</v>
      </c>
      <c r="J14" s="138" t="s">
        <v>6</v>
      </c>
    </row>
    <row r="15" customFormat="false" ht="14.25" hidden="false" customHeight="false" outlineLevel="0" collapsed="false">
      <c r="H15" s="139"/>
      <c r="I15" s="139"/>
      <c r="J15" s="139"/>
    </row>
    <row r="16" customFormat="false" ht="14.25" hidden="false" customHeight="false" outlineLevel="0" collapsed="false">
      <c r="H16" s="139"/>
      <c r="I16" s="139"/>
      <c r="J16" s="139"/>
    </row>
    <row r="17" customFormat="false" ht="14.25" hidden="false" customHeight="false" outlineLevel="0" collapsed="false">
      <c r="H17" s="139"/>
      <c r="I17" s="139"/>
      <c r="J17" s="139"/>
    </row>
    <row r="18" customFormat="false" ht="14.25" hidden="false" customHeight="false" outlineLevel="0" collapsed="false">
      <c r="A18" s="3" t="s">
        <v>130</v>
      </c>
      <c r="B18" s="140" t="n">
        <v>2.5E-005</v>
      </c>
      <c r="C18" s="3" t="s">
        <v>131</v>
      </c>
      <c r="D18" s="3"/>
    </row>
    <row r="20" customFormat="false" ht="14.25" hidden="false" customHeight="false" outlineLevel="0" collapsed="false">
      <c r="A20" s="124" t="s">
        <v>117</v>
      </c>
      <c r="B20" s="125" t="s">
        <v>118</v>
      </c>
      <c r="C20" s="125"/>
      <c r="D20" s="124"/>
      <c r="E20" s="124"/>
      <c r="F20" s="124"/>
      <c r="G20" s="124"/>
      <c r="H20" s="124"/>
      <c r="I20" s="124"/>
      <c r="J20" s="124"/>
      <c r="K20" s="124"/>
    </row>
    <row r="21" customFormat="false" ht="28.5" hidden="false" customHeight="false" outlineLevel="0" collapsed="false">
      <c r="A21" s="124" t="s">
        <v>119</v>
      </c>
      <c r="B21" s="121" t="s">
        <v>120</v>
      </c>
      <c r="C21" s="121" t="s">
        <v>121</v>
      </c>
      <c r="D21" s="121" t="s">
        <v>122</v>
      </c>
      <c r="E21" s="121" t="s">
        <v>72</v>
      </c>
      <c r="F21" s="121" t="s">
        <v>75</v>
      </c>
      <c r="G21" s="121" t="s">
        <v>123</v>
      </c>
      <c r="H21" s="121" t="s">
        <v>124</v>
      </c>
      <c r="I21" s="121" t="s">
        <v>125</v>
      </c>
      <c r="J21" s="141" t="s">
        <v>132</v>
      </c>
      <c r="K21" s="141" t="s">
        <v>133</v>
      </c>
    </row>
    <row r="22" customFormat="false" ht="14.25" hidden="false" customHeight="false" outlineLevel="0" collapsed="false">
      <c r="A22" s="124" t="n">
        <v>1</v>
      </c>
      <c r="B22" s="126" t="n">
        <v>43252</v>
      </c>
      <c r="C22" s="126" t="n">
        <v>47437</v>
      </c>
      <c r="D22" s="127" t="n">
        <v>0.0675</v>
      </c>
      <c r="E22" s="142" t="n">
        <f aca="false">E7+$B$18</f>
        <v>0.051275</v>
      </c>
      <c r="F22" s="5" t="n">
        <v>2</v>
      </c>
      <c r="G22" s="17" t="n">
        <f aca="false">PRICE(B22,C22,D22,E22,100,F22)</f>
        <v>113.922384733322</v>
      </c>
      <c r="H22" s="17" t="n">
        <f aca="false">DURATION(B22,C22,D22,E22,F22)</f>
        <v>8.36928751142009</v>
      </c>
      <c r="I22" s="143" t="n">
        <f aca="false">I7</f>
        <v>0.258984930485834</v>
      </c>
      <c r="J22" s="144" t="n">
        <f aca="false">K22*G22/100</f>
        <v>25333.8982187889</v>
      </c>
      <c r="K22" s="130" t="n">
        <f aca="false">K7</f>
        <v>22237.8580628314</v>
      </c>
    </row>
    <row r="23" customFormat="false" ht="14.25" hidden="false" customHeight="false" outlineLevel="0" collapsed="false">
      <c r="A23" s="124" t="n">
        <v>2</v>
      </c>
      <c r="B23" s="126" t="n">
        <v>43252</v>
      </c>
      <c r="C23" s="126" t="n">
        <v>47223</v>
      </c>
      <c r="D23" s="127" t="n">
        <v>0.06125</v>
      </c>
      <c r="E23" s="142" t="n">
        <f aca="false">E8+$B$18</f>
        <v>0.032525</v>
      </c>
      <c r="F23" s="5" t="n">
        <v>2</v>
      </c>
      <c r="G23" s="17" t="n">
        <f aca="false">PRICE(B23,C23,D23,E23,100,F23)</f>
        <v>126.124454613436</v>
      </c>
      <c r="H23" s="17" t="n">
        <f aca="false">DURATION(B23,C23,D23,E23,F23)</f>
        <v>8.39096340338561</v>
      </c>
      <c r="I23" s="143" t="n">
        <f aca="false">I8</f>
        <v>0.199608859013361</v>
      </c>
      <c r="J23" s="144" t="n">
        <f aca="false">K23*G23/100</f>
        <v>19525.6710046767</v>
      </c>
      <c r="K23" s="130" t="n">
        <f aca="false">K8</f>
        <v>15481.2728939218</v>
      </c>
    </row>
    <row r="24" customFormat="false" ht="14.25" hidden="false" customHeight="false" outlineLevel="0" collapsed="false">
      <c r="A24" s="124" t="n">
        <v>3</v>
      </c>
      <c r="B24" s="126" t="n">
        <v>43252</v>
      </c>
      <c r="C24" s="126" t="n">
        <v>48167</v>
      </c>
      <c r="D24" s="127" t="n">
        <v>0.07</v>
      </c>
      <c r="E24" s="142" t="n">
        <f aca="false">E9+$B$18</f>
        <v>0.035025</v>
      </c>
      <c r="F24" s="5" t="n">
        <v>2</v>
      </c>
      <c r="G24" s="17" t="n">
        <f aca="false">PRICE(B24,C24,D24,E24,100,F24)</f>
        <v>137.268898531627</v>
      </c>
      <c r="H24" s="17" t="n">
        <f aca="false">DURATION(B24,C24,D24,E24,F24)</f>
        <v>9.63100149192332</v>
      </c>
      <c r="I24" s="143" t="n">
        <f aca="false">I9</f>
        <v>0.177167699252874</v>
      </c>
      <c r="J24" s="144" t="n">
        <f aca="false">K24*G24/100</f>
        <v>17329.9735990585</v>
      </c>
      <c r="K24" s="130" t="n">
        <f aca="false">K9</f>
        <v>12624.8362042955</v>
      </c>
    </row>
    <row r="25" customFormat="false" ht="14.25" hidden="false" customHeight="false" outlineLevel="0" collapsed="false">
      <c r="A25" s="124" t="n">
        <v>4</v>
      </c>
      <c r="B25" s="126" t="n">
        <v>43252</v>
      </c>
      <c r="C25" s="126" t="n">
        <v>48580</v>
      </c>
      <c r="D25" s="127" t="n">
        <v>0.08225</v>
      </c>
      <c r="E25" s="142" t="n">
        <f aca="false">E10+$B$18</f>
        <v>0.045525</v>
      </c>
      <c r="F25" s="5" t="n">
        <v>2</v>
      </c>
      <c r="G25" s="17" t="n">
        <f aca="false">PRICE(B25,C25,D25,E25,100,F25)</f>
        <v>138.821402395976</v>
      </c>
      <c r="H25" s="17" t="n">
        <f aca="false">DURATION(B25,C25,D25,E25,F25)</f>
        <v>9.44527226543552</v>
      </c>
      <c r="I25" s="143" t="n">
        <f aca="false">I10</f>
        <v>0.180525554978423</v>
      </c>
      <c r="J25" s="144" t="n">
        <f aca="false">K25*G25/100</f>
        <v>17658.4386440623</v>
      </c>
      <c r="K25" s="130" t="n">
        <f aca="false">K10</f>
        <v>12720.2566313897</v>
      </c>
    </row>
    <row r="26" customFormat="false" ht="14.25" hidden="false" customHeight="false" outlineLevel="0" collapsed="false">
      <c r="A26" s="124" t="n">
        <v>5</v>
      </c>
      <c r="B26" s="126" t="n">
        <v>43252</v>
      </c>
      <c r="C26" s="126" t="n">
        <v>48136</v>
      </c>
      <c r="D26" s="127" t="n">
        <v>0.0775</v>
      </c>
      <c r="E26" s="142" t="n">
        <f aca="false">E11+$B$18</f>
        <v>0.040025</v>
      </c>
      <c r="F26" s="5" t="n">
        <v>2</v>
      </c>
      <c r="G26" s="17" t="n">
        <f aca="false">PRICE(B26,C26,D26,E26,100,F26)</f>
        <v>138.507789668895</v>
      </c>
      <c r="H26" s="17" t="n">
        <f aca="false">DURATION(B26,C26,D26,E26,F26)</f>
        <v>9.26925732081836</v>
      </c>
      <c r="I26" s="143" t="n">
        <f aca="false">I11</f>
        <v>0.183712956269508</v>
      </c>
      <c r="J26" s="144" t="n">
        <f aca="false">K26*G26/100</f>
        <v>17970.3597539532</v>
      </c>
      <c r="K26" s="130" t="n">
        <f aca="false">K11</f>
        <v>12974.2592795046</v>
      </c>
    </row>
    <row r="27" customFormat="false" ht="14.25" hidden="false" customHeight="false" outlineLevel="0" collapsed="false">
      <c r="E27" s="132"/>
    </row>
    <row r="28" customFormat="false" ht="28.5" hidden="false" customHeight="false" outlineLevel="0" collapsed="false">
      <c r="G28" s="133" t="s">
        <v>128</v>
      </c>
      <c r="H28" s="145" t="n">
        <f aca="false">SUMPRODUCT(H22:H26,I22:I26)</f>
        <v>8.95672803362919</v>
      </c>
      <c r="I28" s="146" t="n">
        <f aca="false">SUM(I22:I26)</f>
        <v>1</v>
      </c>
      <c r="J28" s="147" t="n">
        <f aca="false">SUM(J22:J26)</f>
        <v>97818.3412205396</v>
      </c>
      <c r="K28" s="136" t="s">
        <v>129</v>
      </c>
    </row>
    <row r="29" customFormat="false" ht="14.25" hidden="false" customHeight="false" outlineLevel="0" collapsed="false">
      <c r="H29" s="137" t="s">
        <v>6</v>
      </c>
      <c r="I29" s="137" t="s">
        <v>6</v>
      </c>
      <c r="J29" s="138" t="s">
        <v>6</v>
      </c>
    </row>
    <row r="31" customFormat="false" ht="28.5" hidden="false" customHeight="false" outlineLevel="0" collapsed="false">
      <c r="I31" s="148" t="s">
        <v>134</v>
      </c>
      <c r="J31" s="149" t="n">
        <f aca="false">B1</f>
        <v>97839.9809591528</v>
      </c>
    </row>
    <row r="32" customFormat="false" ht="14.25" hidden="false" customHeight="false" outlineLevel="0" collapsed="false">
      <c r="I32" s="150" t="s">
        <v>135</v>
      </c>
      <c r="J32" s="151" t="n">
        <f aca="false">J31-J28</f>
        <v>21.6397386132448</v>
      </c>
    </row>
    <row r="33" customFormat="false" ht="14.25" hidden="false" customHeight="false" outlineLevel="0" collapsed="false">
      <c r="I33" s="150" t="s">
        <v>136</v>
      </c>
      <c r="J33" s="152" t="n">
        <f aca="false">J32/J31</f>
        <v>0.000221174804012679</v>
      </c>
    </row>
  </sheetData>
  <mergeCells count="2">
    <mergeCell ref="B5:C5"/>
    <mergeCell ref="B20:C20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LibreOffice/6.4.3.2$Linux_X86_64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2018-05-08T22:28:10Z</dcterms:created>
  <dc:creator>Jacqueline Garner</dc:creator>
  <dc:description/>
  <dc:language>en-US</dc:language>
  <cp:lastModifiedBy/>
  <dcterms:modified xsi:type="dcterms:W3CDTF">2020-06-06T16:12:12Z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