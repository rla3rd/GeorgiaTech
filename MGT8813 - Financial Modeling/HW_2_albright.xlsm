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formation" sheetId="1" state="visible" r:id="rId2"/>
    <sheet name="Amortization_Schedule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<sst xmlns="http://schemas.openxmlformats.org/spreadsheetml/2006/main" count="26" uniqueCount="23">
  <si>
    <t xml:space="preserve">Name:</t>
  </si>
  <si>
    <t xml:space="preserve">albright</t>
  </si>
  <si>
    <t xml:space="preserve">GTID:</t>
  </si>
  <si>
    <t xml:space="preserve">Loan amount</t>
  </si>
  <si>
    <t xml:space="preserve"> </t>
  </si>
  <si>
    <t xml:space="preserve">Testing the model</t>
  </si>
  <si>
    <t xml:space="preserve">Rate</t>
  </si>
  <si>
    <t xml:space="preserve">Balance Check Points</t>
  </si>
  <si>
    <t xml:space="preserve">End of month: </t>
  </si>
  <si>
    <t xml:space="preserve">Years/term of loan</t>
  </si>
  <si>
    <t xml:space="preserve">Monthly payment</t>
  </si>
  <si>
    <t xml:space="preserve">Check_point_1</t>
  </si>
  <si>
    <t xml:space="preserve">Check_point_2</t>
  </si>
  <si>
    <t xml:space="preserve">Amortization Schedule</t>
  </si>
  <si>
    <t xml:space="preserve">Check_point_3</t>
  </si>
  <si>
    <t xml:space="preserve">Check_point_4</t>
  </si>
  <si>
    <t xml:space="preserve">Period</t>
  </si>
  <si>
    <t xml:space="preserve">Period/Month</t>
  </si>
  <si>
    <t xml:space="preserve">PMT</t>
  </si>
  <si>
    <t xml:space="preserve">Interest</t>
  </si>
  <si>
    <t xml:space="preserve">Principal paid</t>
  </si>
  <si>
    <t xml:space="preserve">Principal balance</t>
  </si>
  <si>
    <t xml:space="preserve">Balance check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</si>
</sst>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"/>
    <numFmt numFmtId="166" formatCode="_(\$* #,##0.00_);_(\$* \(#,##0.00\);_(\$* \-??_);_(@_)"/>
    <numFmt numFmtId="167" formatCode="0%"/>
    <numFmt numFmtId="168" formatCode="0.000%"/>
    <numFmt numFmtId="169" formatCode="_(* #,##0.00_);_(* \(#,##0.00\);_(* \-??_);_(@_)"/>
    <numFmt numFmtId="170" formatCode="General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4472C4"/>
      <name val="Calibri"/>
      <family val="2"/>
      <charset val="1"/>
    </font>
    <font>
      <u val="single"/>
      <sz val="11"/>
      <color rgb="FFFFFFFF"/>
      <name val="Calibri"/>
      <family val="2"/>
      <charset val="1"/>
    </font>
    <font>
      <u val="single"/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EDEDED"/>
        <bgColor rgb="FFFFFFFF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2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6" fillId="0" borderId="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9" fontId="0" fillId="2" borderId="1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8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2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2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DEDED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9" activeCellId="0" sqref="C9"/>
    </sheetView>
  </sheetViews>
  <sheetFormatPr defaultColWidth="8.6953125" defaultRowHeight="15" zeroHeight="false" outlineLevelRow="0" outlineLevelCol="0"/>
  <cols>
    <col collapsed="false" customWidth="true" hidden="false" outlineLevel="0" max="2" min="2" style="0" width="11.57"/>
  </cols>
  <sheetData>
    <row r="1" customFormat="false" ht="15" hidden="false" customHeight="false" outlineLevel="0" collapsed="false">
      <c r="A1" s="0" t="s">
        <v>0</v>
      </c>
      <c r="B1" s="0" t="s">
        <v>1</v>
      </c>
    </row>
    <row r="2" customFormat="false" ht="13.8" hidden="false" customHeight="false" outlineLevel="0" collapsed="false">
      <c r="A2" s="0" t="s">
        <v>2</v>
      </c>
      <c r="B2" s="1" t="n">
        <v>903548616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71"/>
  <sheetViews>
    <sheetView showFormulas="false" showGridLines="true" showRowColHeaders="true" showZeros="true" rightToLeft="false" tabSelected="true" showOutlineSymbols="true" defaultGridColor="true" view="normal" topLeftCell="A354" colorId="64" zoomScale="100" zoomScaleNormal="100" zoomScalePageLayoutView="100" workbookViewId="0">
      <selection pane="topLeft" activeCell="I382" activeCellId="0" sqref="I382"/>
    </sheetView>
  </sheetViews>
  <sheetFormatPr defaultColWidth="8.6953125" defaultRowHeight="15" zeroHeight="false" outlineLevelRow="0" outlineLevelCol="0"/>
  <cols>
    <col collapsed="false" customWidth="true" hidden="false" outlineLevel="0" max="1" min="1" style="0" width="13.29"/>
    <col collapsed="false" customWidth="true" hidden="false" outlineLevel="0" max="2" min="2" style="0" width="27.85"/>
    <col collapsed="false" customWidth="true" hidden="false" outlineLevel="0" max="3" min="3" style="0" width="23.71"/>
    <col collapsed="false" customWidth="true" hidden="false" outlineLevel="0" max="5" min="4" style="0" width="16.71"/>
    <col collapsed="false" customWidth="true" hidden="false" outlineLevel="0" max="6" min="6" style="0" width="26.13"/>
    <col collapsed="false" customWidth="true" hidden="false" outlineLevel="0" max="8" min="8" style="0" width="22.7"/>
    <col collapsed="false" customWidth="true" hidden="false" outlineLevel="0" max="9" min="9" style="0" width="18.85"/>
  </cols>
  <sheetData>
    <row r="1" customFormat="false" ht="15.75" hidden="false" customHeight="false" outlineLevel="0" collapsed="false">
      <c r="A1" s="2"/>
      <c r="B1" s="3" t="s">
        <v>3</v>
      </c>
      <c r="C1" s="4" t="n">
        <v>350000</v>
      </c>
      <c r="E1" s="0" t="s">
        <v>4</v>
      </c>
      <c r="H1" s="5" t="s">
        <v>5</v>
      </c>
      <c r="I1" s="5"/>
    </row>
    <row r="2" customFormat="false" ht="15.75" hidden="false" customHeight="false" outlineLevel="0" collapsed="false">
      <c r="A2" s="2"/>
      <c r="B2" s="6" t="s">
        <v>6</v>
      </c>
      <c r="C2" s="7" t="n">
        <v>0.04375</v>
      </c>
      <c r="H2" s="8" t="s">
        <v>7</v>
      </c>
      <c r="I2" s="9" t="s">
        <v>8</v>
      </c>
    </row>
    <row r="3" customFormat="false" ht="13.8" hidden="false" customHeight="false" outlineLevel="0" collapsed="false">
      <c r="A3" s="2"/>
      <c r="B3" s="10" t="s">
        <v>9</v>
      </c>
      <c r="C3" s="11" t="n">
        <v>30</v>
      </c>
      <c r="D3" s="12" t="s">
        <v>10</v>
      </c>
      <c r="E3" s="13" t="n">
        <f aca="false">PMT($C$2/12,$C$3*12,-$C$1,0,0)</f>
        <v>1747.49840207314</v>
      </c>
      <c r="H3" s="14" t="s">
        <v>11</v>
      </c>
      <c r="I3" s="15" t="n">
        <v>12</v>
      </c>
    </row>
    <row r="4" customFormat="false" ht="15.75" hidden="false" customHeight="false" outlineLevel="0" collapsed="false">
      <c r="A4" s="2"/>
      <c r="H4" s="14" t="s">
        <v>12</v>
      </c>
      <c r="I4" s="15" t="n">
        <v>60</v>
      </c>
    </row>
    <row r="5" customFormat="false" ht="15.75" hidden="false" customHeight="false" outlineLevel="0" collapsed="false">
      <c r="A5" s="2"/>
      <c r="B5" s="16" t="s">
        <v>13</v>
      </c>
      <c r="C5" s="17"/>
      <c r="D5" s="17"/>
      <c r="E5" s="17"/>
      <c r="F5" s="18"/>
      <c r="H5" s="14" t="s">
        <v>14</v>
      </c>
      <c r="I5" s="15" t="n">
        <v>120</v>
      </c>
    </row>
    <row r="6" customFormat="false" ht="15.75" hidden="false" customHeight="false" outlineLevel="0" collapsed="false">
      <c r="A6" s="2"/>
      <c r="H6" s="19" t="s">
        <v>15</v>
      </c>
      <c r="I6" s="20" t="n">
        <v>240</v>
      </c>
    </row>
    <row r="7" customFormat="false" ht="15.75" hidden="false" customHeight="false" outlineLevel="0" collapsed="false">
      <c r="A7" s="21" t="s">
        <v>16</v>
      </c>
      <c r="B7" s="22" t="s">
        <v>17</v>
      </c>
      <c r="C7" s="23" t="s">
        <v>18</v>
      </c>
      <c r="D7" s="23" t="s">
        <v>19</v>
      </c>
      <c r="E7" s="23" t="s">
        <v>20</v>
      </c>
      <c r="F7" s="24" t="s">
        <v>21</v>
      </c>
    </row>
    <row r="8" customFormat="false" ht="15" hidden="false" customHeight="false" outlineLevel="0" collapsed="false">
      <c r="A8" s="2" t="n">
        <v>0</v>
      </c>
      <c r="B8" s="25" t="n">
        <f aca="false">IF(A8&lt;=($C$3*12),A8," ")</f>
        <v>0</v>
      </c>
      <c r="F8" s="26" t="n">
        <f aca="false">C1</f>
        <v>350000</v>
      </c>
    </row>
    <row r="9" customFormat="false" ht="13.8" hidden="false" customHeight="false" outlineLevel="0" collapsed="false">
      <c r="A9" s="27" t="n">
        <v>1</v>
      </c>
      <c r="B9" s="28" t="n">
        <f aca="false">IF($A9&lt;=$C$3*12,$A9,"")</f>
        <v>1</v>
      </c>
      <c r="C9" s="29" t="n">
        <f aca="false">IF($A9&lt;=$C$3*12,$E$3,"")</f>
        <v>1747.49840207314</v>
      </c>
      <c r="D9" s="29" t="n">
        <f aca="false">IF($A9&lt;=$C$3*12,F8*C$2/12,"")</f>
        <v>1276.04166666667</v>
      </c>
      <c r="E9" s="29" t="n">
        <f aca="false">IF($A9&lt;=$C$3*12,$C9-$D9,"")</f>
        <v>471.45673540647</v>
      </c>
      <c r="F9" s="29" t="n">
        <f aca="false">IF($A9&lt;=$C$3*12,$F8-$E9,"")</f>
        <v>349528.543264593</v>
      </c>
    </row>
    <row r="10" customFormat="false" ht="13.8" hidden="false" customHeight="false" outlineLevel="0" collapsed="false">
      <c r="A10" s="27" t="n">
        <v>2</v>
      </c>
      <c r="B10" s="28" t="n">
        <f aca="false">IF($A10&lt;=$C$3*12,$A10,"")</f>
        <v>2</v>
      </c>
      <c r="C10" s="29" t="n">
        <f aca="false">IF($A10&lt;=$C$3*12,$E$3,"")</f>
        <v>1747.49840207314</v>
      </c>
      <c r="D10" s="29" t="n">
        <f aca="false">IF($A10&lt;=$C$3*12,F9*C$2/12,"")</f>
        <v>1274.3228139855</v>
      </c>
      <c r="E10" s="29" t="n">
        <f aca="false">IF($A10&lt;=$C$3*12,$C10-$D10,"")</f>
        <v>473.175588087639</v>
      </c>
      <c r="F10" s="29" t="n">
        <f aca="false">IF($A10&lt;=$C$3*12,$F9-$E10,"")</f>
        <v>349055.367676506</v>
      </c>
    </row>
    <row r="11" customFormat="false" ht="13.8" hidden="false" customHeight="false" outlineLevel="0" collapsed="false">
      <c r="A11" s="27" t="n">
        <v>3</v>
      </c>
      <c r="B11" s="28" t="n">
        <f aca="false">IF($A11&lt;=$C$3*12,$A11,"")</f>
        <v>3</v>
      </c>
      <c r="C11" s="29" t="n">
        <f aca="false">IF($A11&lt;=$C$3*12,$E$3,"")</f>
        <v>1747.49840207314</v>
      </c>
      <c r="D11" s="29" t="n">
        <f aca="false">IF($A11&lt;=$C$3*12,F10*C$2/12,"")</f>
        <v>1272.59769465393</v>
      </c>
      <c r="E11" s="29" t="n">
        <f aca="false">IF($A11&lt;=$C$3*12,$C11-$D11,"")</f>
        <v>474.900707419209</v>
      </c>
      <c r="F11" s="29" t="n">
        <f aca="false">IF($A11&lt;=$C$3*12,$F10-$E11,"")</f>
        <v>348580.466969087</v>
      </c>
    </row>
    <row r="12" customFormat="false" ht="13.8" hidden="false" customHeight="false" outlineLevel="0" collapsed="false">
      <c r="A12" s="27" t="n">
        <v>4</v>
      </c>
      <c r="B12" s="28" t="n">
        <f aca="false">IF($A12&lt;=$C$3*12,$A12,"")</f>
        <v>4</v>
      </c>
      <c r="C12" s="29" t="n">
        <f aca="false">IF($A12&lt;=$C$3*12,$E$3,"")</f>
        <v>1747.49840207314</v>
      </c>
      <c r="D12" s="29" t="n">
        <f aca="false">IF($A12&lt;=$C$3*12,F11*C$2/12,"")</f>
        <v>1270.8662858248</v>
      </c>
      <c r="E12" s="29" t="n">
        <f aca="false">IF($A12&lt;=$C$3*12,$C12-$D12,"")</f>
        <v>476.632116248341</v>
      </c>
      <c r="F12" s="29" t="n">
        <f aca="false">IF($A12&lt;=$C$3*12,$F11-$E12,"")</f>
        <v>348103.834852838</v>
      </c>
    </row>
    <row r="13" customFormat="false" ht="13.8" hidden="false" customHeight="false" outlineLevel="0" collapsed="false">
      <c r="A13" s="27" t="n">
        <v>5</v>
      </c>
      <c r="B13" s="28" t="n">
        <f aca="false">IF($A13&lt;=$C$3*12,$A13,"")</f>
        <v>5</v>
      </c>
      <c r="C13" s="29" t="n">
        <f aca="false">IF($A13&lt;=$C$3*12,$E$3,"")</f>
        <v>1747.49840207314</v>
      </c>
      <c r="D13" s="29" t="n">
        <f aca="false">IF($A13&lt;=$C$3*12,F12*C$2/12,"")</f>
        <v>1269.12856456764</v>
      </c>
      <c r="E13" s="29" t="n">
        <f aca="false">IF($A13&lt;=$C$3*12,$C13-$D13,"")</f>
        <v>478.369837505497</v>
      </c>
      <c r="F13" s="29" t="n">
        <f aca="false">IF($A13&lt;=$C$3*12,$F12-$E13,"")</f>
        <v>347625.465015333</v>
      </c>
    </row>
    <row r="14" customFormat="false" ht="13.8" hidden="false" customHeight="false" outlineLevel="0" collapsed="false">
      <c r="A14" s="27" t="n">
        <v>6</v>
      </c>
      <c r="B14" s="28" t="n">
        <f aca="false">IF($A14&lt;=$C$3*12,$A14,"")</f>
        <v>6</v>
      </c>
      <c r="C14" s="29" t="n">
        <f aca="false">IF($A14&lt;=$C$3*12,$E$3,"")</f>
        <v>1747.49840207314</v>
      </c>
      <c r="D14" s="29" t="n">
        <f aca="false">IF($A14&lt;=$C$3*12,F13*C$2/12,"")</f>
        <v>1267.3845078684</v>
      </c>
      <c r="E14" s="29" t="n">
        <f aca="false">IF($A14&lt;=$C$3*12,$C14-$D14,"")</f>
        <v>480.113894204736</v>
      </c>
      <c r="F14" s="29" t="n">
        <f aca="false">IF($A14&lt;=$C$3*12,$F13-$E14,"")</f>
        <v>347145.351121128</v>
      </c>
    </row>
    <row r="15" customFormat="false" ht="13.8" hidden="false" customHeight="false" outlineLevel="0" collapsed="false">
      <c r="A15" s="27" t="n">
        <v>7</v>
      </c>
      <c r="B15" s="28" t="n">
        <f aca="false">IF($A15&lt;=$C$3*12,$A15,"")</f>
        <v>7</v>
      </c>
      <c r="C15" s="29" t="n">
        <f aca="false">IF($A15&lt;=$C$3*12,$E$3,"")</f>
        <v>1747.49840207314</v>
      </c>
      <c r="D15" s="29" t="n">
        <f aca="false">IF($A15&lt;=$C$3*12,F14*C$2/12,"")</f>
        <v>1265.63409262911</v>
      </c>
      <c r="E15" s="29" t="n">
        <f aca="false">IF($A15&lt;=$C$3*12,$C15-$D15,"")</f>
        <v>481.864309444024</v>
      </c>
      <c r="F15" s="29" t="n">
        <f aca="false">IF($A15&lt;=$C$3*12,$F14-$E15,"")</f>
        <v>346663.486811684</v>
      </c>
    </row>
    <row r="16" customFormat="false" ht="13.8" hidden="false" customHeight="false" outlineLevel="0" collapsed="false">
      <c r="A16" s="27" t="n">
        <v>8</v>
      </c>
      <c r="B16" s="28" t="n">
        <f aca="false">IF($A16&lt;=$C$3*12,$A16,"")</f>
        <v>8</v>
      </c>
      <c r="C16" s="29" t="n">
        <f aca="false">IF($A16&lt;=$C$3*12,$E$3,"")</f>
        <v>1747.49840207314</v>
      </c>
      <c r="D16" s="29" t="n">
        <f aca="false">IF($A16&lt;=$C$3*12,F15*C$2/12,"")</f>
        <v>1263.8772956676</v>
      </c>
      <c r="E16" s="29" t="n">
        <f aca="false">IF($A16&lt;=$C$3*12,$C16-$D16,"")</f>
        <v>483.621106405538</v>
      </c>
      <c r="F16" s="29" t="n">
        <f aca="false">IF($A16&lt;=$C$3*12,$F15-$E16,"")</f>
        <v>346179.865705279</v>
      </c>
    </row>
    <row r="17" customFormat="false" ht="13.8" hidden="false" customHeight="false" outlineLevel="0" collapsed="false">
      <c r="A17" s="27" t="n">
        <v>9</v>
      </c>
      <c r="B17" s="28" t="n">
        <f aca="false">IF($A17&lt;=$C$3*12,$A17,"")</f>
        <v>9</v>
      </c>
      <c r="C17" s="29" t="n">
        <f aca="false">IF($A17&lt;=$C$3*12,$E$3,"")</f>
        <v>1747.49840207314</v>
      </c>
      <c r="D17" s="29" t="n">
        <f aca="false">IF($A17&lt;=$C$3*12,F16*C$2/12,"")</f>
        <v>1262.11409371716</v>
      </c>
      <c r="E17" s="29" t="n">
        <f aca="false">IF($A17&lt;=$C$3*12,$C17-$D17,"")</f>
        <v>485.384308355975</v>
      </c>
      <c r="F17" s="29" t="n">
        <f aca="false">IF($A17&lt;=$C$3*12,$F16-$E17,"")</f>
        <v>345694.481396923</v>
      </c>
    </row>
    <row r="18" customFormat="false" ht="13.8" hidden="false" customHeight="false" outlineLevel="0" collapsed="false">
      <c r="A18" s="27" t="n">
        <v>10</v>
      </c>
      <c r="B18" s="28" t="n">
        <f aca="false">IF($A18&lt;=$C$3*12,$A18,"")</f>
        <v>10</v>
      </c>
      <c r="C18" s="29" t="n">
        <f aca="false">IF($A18&lt;=$C$3*12,$E$3,"")</f>
        <v>1747.49840207314</v>
      </c>
      <c r="D18" s="29" t="n">
        <f aca="false">IF($A18&lt;=$C$3*12,F17*C$2/12,"")</f>
        <v>1260.34446342628</v>
      </c>
      <c r="E18" s="29" t="n">
        <f aca="false">IF($A18&lt;=$C$3*12,$C18-$D18,"")</f>
        <v>487.153938646856</v>
      </c>
      <c r="F18" s="29" t="n">
        <f aca="false">IF($A18&lt;=$C$3*12,$F17-$E18,"")</f>
        <v>345207.327458276</v>
      </c>
    </row>
    <row r="19" customFormat="false" ht="13.8" hidden="false" customHeight="false" outlineLevel="0" collapsed="false">
      <c r="A19" s="27" t="n">
        <v>11</v>
      </c>
      <c r="B19" s="28" t="n">
        <f aca="false">IF($A19&lt;=$C$3*12,$A19,"")</f>
        <v>11</v>
      </c>
      <c r="C19" s="29" t="n">
        <f aca="false">IF($A19&lt;=$C$3*12,$E$3,"")</f>
        <v>1747.49840207314</v>
      </c>
      <c r="D19" s="29" t="n">
        <f aca="false">IF($A19&lt;=$C$3*12,F18*C$2/12,"")</f>
        <v>1258.5683813583</v>
      </c>
      <c r="E19" s="29" t="n">
        <f aca="false">IF($A19&lt;=$C$3*12,$C19-$D19,"")</f>
        <v>488.930020714839</v>
      </c>
      <c r="F19" s="29" t="n">
        <f aca="false">IF($A19&lt;=$C$3*12,$F18-$E19,"")</f>
        <v>344718.397437561</v>
      </c>
    </row>
    <row r="20" customFormat="false" ht="13.8" hidden="false" customHeight="false" outlineLevel="0" collapsed="false">
      <c r="A20" s="27" t="n">
        <v>12</v>
      </c>
      <c r="B20" s="28" t="n">
        <f aca="false">IF($A20&lt;=$C$3*12,$A20,"")</f>
        <v>12</v>
      </c>
      <c r="C20" s="29" t="n">
        <f aca="false">IF($A20&lt;=$C$3*12,$E$3,"")</f>
        <v>1747.49840207314</v>
      </c>
      <c r="D20" s="29" t="n">
        <f aca="false">IF($A20&lt;=$C$3*12,F19*C$2/12,"")</f>
        <v>1256.78582399111</v>
      </c>
      <c r="E20" s="29" t="n">
        <f aca="false">IF($A20&lt;=$C$3*12,$C20-$D20,"")</f>
        <v>490.712578082029</v>
      </c>
      <c r="F20" s="29" t="n">
        <f aca="false">IF($A20&lt;=$C$3*12,$F19-$E20,"")</f>
        <v>344227.684859479</v>
      </c>
      <c r="H20" s="30" t="s">
        <v>22</v>
      </c>
      <c r="I20" s="29" t="n">
        <f aca="false">PV($C$2/12,$C$3*12-$A20,-$E$3,0,0)</f>
        <v>344227.68485948</v>
      </c>
    </row>
    <row r="21" customFormat="false" ht="13.8" hidden="false" customHeight="false" outlineLevel="0" collapsed="false">
      <c r="A21" s="27" t="n">
        <v>13</v>
      </c>
      <c r="B21" s="28" t="n">
        <f aca="false">IF($A21&lt;=$C$3*12,$A21,"")</f>
        <v>13</v>
      </c>
      <c r="C21" s="29" t="n">
        <f aca="false">IF($A21&lt;=$C$3*12,$E$3,"")</f>
        <v>1747.49840207314</v>
      </c>
      <c r="D21" s="29" t="n">
        <f aca="false">IF($A21&lt;=$C$3*12,F20*C$2/12,"")</f>
        <v>1254.99676771685</v>
      </c>
      <c r="E21" s="29" t="n">
        <f aca="false">IF($A21&lt;=$C$3*12,$C21-$D21,"")</f>
        <v>492.501634356286</v>
      </c>
      <c r="F21" s="29" t="n">
        <f aca="false">IF($A21&lt;=$C$3*12,$F20-$E21,"")</f>
        <v>343735.183225123</v>
      </c>
    </row>
    <row r="22" customFormat="false" ht="13.8" hidden="false" customHeight="false" outlineLevel="0" collapsed="false">
      <c r="A22" s="27" t="n">
        <v>14</v>
      </c>
      <c r="B22" s="28" t="n">
        <f aca="false">IF($A22&lt;=$C$3*12,$A22,"")</f>
        <v>14</v>
      </c>
      <c r="C22" s="29" t="n">
        <f aca="false">IF($A22&lt;=$C$3*12,$E$3,"")</f>
        <v>1747.49840207314</v>
      </c>
      <c r="D22" s="29" t="n">
        <f aca="false">IF($A22&lt;=$C$3*12,F21*C$2/12,"")</f>
        <v>1253.20118884159</v>
      </c>
      <c r="E22" s="29" t="n">
        <f aca="false">IF($A22&lt;=$C$3*12,$C22-$D22,"")</f>
        <v>494.297213231544</v>
      </c>
      <c r="F22" s="29" t="n">
        <f aca="false">IF($A22&lt;=$C$3*12,$F21-$E22,"")</f>
        <v>343240.886011891</v>
      </c>
    </row>
    <row r="23" customFormat="false" ht="13.8" hidden="false" customHeight="false" outlineLevel="0" collapsed="false">
      <c r="A23" s="27" t="n">
        <v>15</v>
      </c>
      <c r="B23" s="28" t="n">
        <f aca="false">IF($A23&lt;=$C$3*12,$A23,"")</f>
        <v>15</v>
      </c>
      <c r="C23" s="29" t="n">
        <f aca="false">IF($A23&lt;=$C$3*12,$E$3,"")</f>
        <v>1747.49840207314</v>
      </c>
      <c r="D23" s="29" t="n">
        <f aca="false">IF($A23&lt;=$C$3*12,F22*C$2/12,"")</f>
        <v>1251.39906358502</v>
      </c>
      <c r="E23" s="29" t="n">
        <f aca="false">IF($A23&lt;=$C$3*12,$C23-$D23,"")</f>
        <v>496.099338488117</v>
      </c>
      <c r="F23" s="29" t="n">
        <f aca="false">IF($A23&lt;=$C$3*12,$F22-$E23,"")</f>
        <v>342744.786673403</v>
      </c>
    </row>
    <row r="24" customFormat="false" ht="13.8" hidden="false" customHeight="false" outlineLevel="0" collapsed="false">
      <c r="A24" s="27" t="n">
        <v>16</v>
      </c>
      <c r="B24" s="28" t="n">
        <f aca="false">IF($A24&lt;=$C$3*12,$A24,"")</f>
        <v>16</v>
      </c>
      <c r="C24" s="29" t="n">
        <f aca="false">IF($A24&lt;=$C$3*12,$E$3,"")</f>
        <v>1747.49840207314</v>
      </c>
      <c r="D24" s="29" t="n">
        <f aca="false">IF($A24&lt;=$C$3*12,F23*C$2/12,"")</f>
        <v>1249.59036808011</v>
      </c>
      <c r="E24" s="29" t="n">
        <f aca="false">IF($A24&lt;=$C$3*12,$C24-$D24,"")</f>
        <v>497.908033993022</v>
      </c>
      <c r="F24" s="29" t="n">
        <f aca="false">IF($A24&lt;=$C$3*12,$F23-$E24,"")</f>
        <v>342246.87863941</v>
      </c>
    </row>
    <row r="25" customFormat="false" ht="13.8" hidden="false" customHeight="false" outlineLevel="0" collapsed="false">
      <c r="A25" s="27" t="n">
        <v>17</v>
      </c>
      <c r="B25" s="28" t="n">
        <f aca="false">IF($A25&lt;=$C$3*12,$A25,"")</f>
        <v>17</v>
      </c>
      <c r="C25" s="29" t="n">
        <f aca="false">IF($A25&lt;=$C$3*12,$E$3,"")</f>
        <v>1747.49840207314</v>
      </c>
      <c r="D25" s="29" t="n">
        <f aca="false">IF($A25&lt;=$C$3*12,F24*C$2/12,"")</f>
        <v>1247.77507837285</v>
      </c>
      <c r="E25" s="29" t="n">
        <f aca="false">IF($A25&lt;=$C$3*12,$C25-$D25,"")</f>
        <v>499.723323700288</v>
      </c>
      <c r="F25" s="29" t="n">
        <f aca="false">IF($A25&lt;=$C$3*12,$F24-$E25,"")</f>
        <v>341747.15531571</v>
      </c>
    </row>
    <row r="26" customFormat="false" ht="13.8" hidden="false" customHeight="false" outlineLevel="0" collapsed="false">
      <c r="A26" s="27" t="n">
        <v>18</v>
      </c>
      <c r="B26" s="28" t="n">
        <f aca="false">IF($A26&lt;=$C$3*12,$A26,"")</f>
        <v>18</v>
      </c>
      <c r="C26" s="29" t="n">
        <f aca="false">IF($A26&lt;=$C$3*12,$E$3,"")</f>
        <v>1747.49840207314</v>
      </c>
      <c r="D26" s="29" t="n">
        <f aca="false">IF($A26&lt;=$C$3*12,F25*C$2/12,"")</f>
        <v>1245.95317042186</v>
      </c>
      <c r="E26" s="29" t="n">
        <f aca="false">IF($A26&lt;=$C$3*12,$C26-$D26,"")</f>
        <v>501.545231651279</v>
      </c>
      <c r="F26" s="29" t="n">
        <f aca="false">IF($A26&lt;=$C$3*12,$F25-$E26,"")</f>
        <v>341245.610084058</v>
      </c>
    </row>
    <row r="27" customFormat="false" ht="13.8" hidden="false" customHeight="false" outlineLevel="0" collapsed="false">
      <c r="A27" s="27" t="n">
        <v>19</v>
      </c>
      <c r="B27" s="28" t="n">
        <f aca="false">IF($A27&lt;=$C$3*12,$A27,"")</f>
        <v>19</v>
      </c>
      <c r="C27" s="29" t="n">
        <f aca="false">IF($A27&lt;=$C$3*12,$E$3,"")</f>
        <v>1747.49840207314</v>
      </c>
      <c r="D27" s="29" t="n">
        <f aca="false">IF($A27&lt;=$C$3*12,F26*C$2/12,"")</f>
        <v>1244.12462009813</v>
      </c>
      <c r="E27" s="29" t="n">
        <f aca="false">IF($A27&lt;=$C$3*12,$C27-$D27,"")</f>
        <v>503.373781975007</v>
      </c>
      <c r="F27" s="29" t="n">
        <f aca="false">IF($A27&lt;=$C$3*12,$F26-$E27,"")</f>
        <v>340742.236302083</v>
      </c>
    </row>
    <row r="28" customFormat="false" ht="13.8" hidden="false" customHeight="false" outlineLevel="0" collapsed="false">
      <c r="A28" s="27" t="n">
        <v>20</v>
      </c>
      <c r="B28" s="28" t="n">
        <f aca="false">IF($A28&lt;=$C$3*12,$A28,"")</f>
        <v>20</v>
      </c>
      <c r="C28" s="29" t="n">
        <f aca="false">IF($A28&lt;=$C$3*12,$E$3,"")</f>
        <v>1747.49840207314</v>
      </c>
      <c r="D28" s="29" t="n">
        <f aca="false">IF($A28&lt;=$C$3*12,F27*C$2/12,"")</f>
        <v>1242.28940318468</v>
      </c>
      <c r="E28" s="29" t="n">
        <f aca="false">IF($A28&lt;=$C$3*12,$C28-$D28,"")</f>
        <v>505.208998888458</v>
      </c>
      <c r="F28" s="29" t="n">
        <f aca="false">IF($A28&lt;=$C$3*12,$F27-$E28,"")</f>
        <v>340237.027303195</v>
      </c>
    </row>
    <row r="29" customFormat="false" ht="13.8" hidden="false" customHeight="false" outlineLevel="0" collapsed="false">
      <c r="A29" s="27" t="n">
        <v>21</v>
      </c>
      <c r="B29" s="28" t="n">
        <f aca="false">IF($A29&lt;=$C$3*12,$A29,"")</f>
        <v>21</v>
      </c>
      <c r="C29" s="29" t="n">
        <f aca="false">IF($A29&lt;=$C$3*12,$E$3,"")</f>
        <v>1747.49840207314</v>
      </c>
      <c r="D29" s="29" t="n">
        <f aca="false">IF($A29&lt;=$C$3*12,F28*C$2/12,"")</f>
        <v>1240.44749537623</v>
      </c>
      <c r="E29" s="29" t="n">
        <f aca="false">IF($A29&lt;=$C$3*12,$C29-$D29,"")</f>
        <v>507.050906696905</v>
      </c>
      <c r="F29" s="29" t="n">
        <f aca="false">IF($A29&lt;=$C$3*12,$F28-$E29,"")</f>
        <v>339729.976396498</v>
      </c>
    </row>
    <row r="30" customFormat="false" ht="13.8" hidden="false" customHeight="false" outlineLevel="0" collapsed="false">
      <c r="A30" s="27" t="n">
        <v>22</v>
      </c>
      <c r="B30" s="28" t="n">
        <f aca="false">IF($A30&lt;=$C$3*12,$A30,"")</f>
        <v>22</v>
      </c>
      <c r="C30" s="29" t="n">
        <f aca="false">IF($A30&lt;=$C$3*12,$E$3,"")</f>
        <v>1747.49840207314</v>
      </c>
      <c r="D30" s="29" t="n">
        <f aca="false">IF($A30&lt;=$C$3*12,F29*C$2/12,"")</f>
        <v>1238.5988722789</v>
      </c>
      <c r="E30" s="29" t="n">
        <f aca="false">IF($A30&lt;=$C$3*12,$C30-$D30,"")</f>
        <v>508.899529794238</v>
      </c>
      <c r="F30" s="29" t="n">
        <f aca="false">IF($A30&lt;=$C$3*12,$F29-$E30,"")</f>
        <v>339221.076866704</v>
      </c>
    </row>
    <row r="31" customFormat="false" ht="13.8" hidden="false" customHeight="false" outlineLevel="0" collapsed="false">
      <c r="A31" s="27" t="n">
        <v>23</v>
      </c>
      <c r="B31" s="28" t="n">
        <f aca="false">IF($A31&lt;=$C$3*12,$A31,"")</f>
        <v>23</v>
      </c>
      <c r="C31" s="29" t="n">
        <f aca="false">IF($A31&lt;=$C$3*12,$E$3,"")</f>
        <v>1747.49840207314</v>
      </c>
      <c r="D31" s="29" t="n">
        <f aca="false">IF($A31&lt;=$C$3*12,F30*C$2/12,"")</f>
        <v>1236.74350940986</v>
      </c>
      <c r="E31" s="29" t="n">
        <f aca="false">IF($A31&lt;=$C$3*12,$C31-$D31,"")</f>
        <v>510.754892663279</v>
      </c>
      <c r="F31" s="29" t="n">
        <f aca="false">IF($A31&lt;=$C$3*12,$F30-$E31,"")</f>
        <v>338710.32197404</v>
      </c>
    </row>
    <row r="32" customFormat="false" ht="13.8" hidden="false" customHeight="false" outlineLevel="0" collapsed="false">
      <c r="A32" s="27" t="n">
        <v>24</v>
      </c>
      <c r="B32" s="28" t="n">
        <f aca="false">IF($A32&lt;=$C$3*12,$A32,"")</f>
        <v>24</v>
      </c>
      <c r="C32" s="29" t="n">
        <f aca="false">IF($A32&lt;=$C$3*12,$E$3,"")</f>
        <v>1747.49840207314</v>
      </c>
      <c r="D32" s="29" t="n">
        <f aca="false">IF($A32&lt;=$C$3*12,F31*C$2/12,"")</f>
        <v>1234.88138219702</v>
      </c>
      <c r="E32" s="29" t="n">
        <f aca="false">IF($A32&lt;=$C$3*12,$C32-$D32,"")</f>
        <v>512.617019876114</v>
      </c>
      <c r="F32" s="29" t="n">
        <f aca="false">IF($A32&lt;=$C$3*12,$F31-$E32,"")</f>
        <v>338197.704954164</v>
      </c>
    </row>
    <row r="33" customFormat="false" ht="13.8" hidden="false" customHeight="false" outlineLevel="0" collapsed="false">
      <c r="A33" s="27" t="n">
        <v>25</v>
      </c>
      <c r="B33" s="28" t="n">
        <f aca="false">IF($A33&lt;=$C$3*12,$A33,"")</f>
        <v>25</v>
      </c>
      <c r="C33" s="29" t="n">
        <f aca="false">IF($A33&lt;=$C$3*12,$E$3,"")</f>
        <v>1747.49840207314</v>
      </c>
      <c r="D33" s="29" t="n">
        <f aca="false">IF($A33&lt;=$C$3*12,F32*C$2/12,"")</f>
        <v>1233.01246597872</v>
      </c>
      <c r="E33" s="29" t="n">
        <f aca="false">IF($A33&lt;=$C$3*12,$C33-$D33,"")</f>
        <v>514.485936094412</v>
      </c>
      <c r="F33" s="29" t="n">
        <f aca="false">IF($A33&lt;=$C$3*12,$F32-$E33,"")</f>
        <v>337683.21901807</v>
      </c>
    </row>
    <row r="34" customFormat="false" ht="13.8" hidden="false" customHeight="false" outlineLevel="0" collapsed="false">
      <c r="A34" s="27" t="n">
        <v>26</v>
      </c>
      <c r="B34" s="28" t="n">
        <f aca="false">IF($A34&lt;=$C$3*12,$A34,"")</f>
        <v>26</v>
      </c>
      <c r="C34" s="29" t="n">
        <f aca="false">IF($A34&lt;=$C$3*12,$E$3,"")</f>
        <v>1747.49840207314</v>
      </c>
      <c r="D34" s="29" t="n">
        <f aca="false">IF($A34&lt;=$C$3*12,F33*C$2/12,"")</f>
        <v>1231.13673600338</v>
      </c>
      <c r="E34" s="29" t="n">
        <f aca="false">IF($A34&lt;=$C$3*12,$C34-$D34,"")</f>
        <v>516.361666069757</v>
      </c>
      <c r="F34" s="29" t="n">
        <f aca="false">IF($A34&lt;=$C$3*12,$F33-$E34,"")</f>
        <v>337166.857352</v>
      </c>
    </row>
    <row r="35" customFormat="false" ht="13.8" hidden="false" customHeight="false" outlineLevel="0" collapsed="false">
      <c r="A35" s="27" t="n">
        <v>27</v>
      </c>
      <c r="B35" s="28" t="n">
        <f aca="false">IF($A35&lt;=$C$3*12,$A35,"")</f>
        <v>27</v>
      </c>
      <c r="C35" s="29" t="n">
        <f aca="false">IF($A35&lt;=$C$3*12,$E$3,"")</f>
        <v>1747.49840207314</v>
      </c>
      <c r="D35" s="29" t="n">
        <f aca="false">IF($A35&lt;=$C$3*12,F34*C$2/12,"")</f>
        <v>1229.25416742917</v>
      </c>
      <c r="E35" s="29" t="n">
        <f aca="false">IF($A35&lt;=$C$3*12,$C35-$D35,"")</f>
        <v>518.24423464397</v>
      </c>
      <c r="F35" s="29" t="n">
        <f aca="false">IF($A35&lt;=$C$3*12,$F34-$E35,"")</f>
        <v>336648.613117356</v>
      </c>
    </row>
    <row r="36" customFormat="false" ht="13.8" hidden="false" customHeight="false" outlineLevel="0" collapsed="false">
      <c r="A36" s="27" t="n">
        <v>28</v>
      </c>
      <c r="B36" s="28" t="n">
        <f aca="false">IF($A36&lt;=$C$3*12,$A36,"")</f>
        <v>28</v>
      </c>
      <c r="C36" s="29" t="n">
        <f aca="false">IF($A36&lt;=$C$3*12,$E$3,"")</f>
        <v>1747.49840207314</v>
      </c>
      <c r="D36" s="29" t="n">
        <f aca="false">IF($A36&lt;=$C$3*12,F35*C$2/12,"")</f>
        <v>1227.36473532369</v>
      </c>
      <c r="E36" s="29" t="n">
        <f aca="false">IF($A36&lt;=$C$3*12,$C36-$D36,"")</f>
        <v>520.133666749442</v>
      </c>
      <c r="F36" s="29" t="n">
        <f aca="false">IF($A36&lt;=$C$3*12,$F35-$E36,"")</f>
        <v>336128.479450607</v>
      </c>
    </row>
    <row r="37" customFormat="false" ht="13.8" hidden="false" customHeight="false" outlineLevel="0" collapsed="false">
      <c r="A37" s="27" t="n">
        <v>29</v>
      </c>
      <c r="B37" s="28" t="n">
        <f aca="false">IF($A37&lt;=$C$3*12,$A37,"")</f>
        <v>29</v>
      </c>
      <c r="C37" s="29" t="n">
        <f aca="false">IF($A37&lt;=$C$3*12,$E$3,"")</f>
        <v>1747.49840207314</v>
      </c>
      <c r="D37" s="29" t="n">
        <f aca="false">IF($A37&lt;=$C$3*12,F36*C$2/12,"")</f>
        <v>1225.46841466367</v>
      </c>
      <c r="E37" s="29" t="n">
        <f aca="false">IF($A37&lt;=$C$3*12,$C37-$D37,"")</f>
        <v>522.029987409467</v>
      </c>
      <c r="F37" s="29" t="n">
        <f aca="false">IF($A37&lt;=$C$3*12,$F36-$E37,"")</f>
        <v>335606.449463197</v>
      </c>
    </row>
    <row r="38" customFormat="false" ht="13.8" hidden="false" customHeight="false" outlineLevel="0" collapsed="false">
      <c r="A38" s="27" t="n">
        <v>30</v>
      </c>
      <c r="B38" s="28" t="n">
        <f aca="false">IF($A38&lt;=$C$3*12,$A38,"")</f>
        <v>30</v>
      </c>
      <c r="C38" s="29" t="n">
        <f aca="false">IF($A38&lt;=$C$3*12,$E$3,"")</f>
        <v>1747.49840207314</v>
      </c>
      <c r="D38" s="29" t="n">
        <f aca="false">IF($A38&lt;=$C$3*12,F37*C$2/12,"")</f>
        <v>1223.56518033457</v>
      </c>
      <c r="E38" s="29" t="n">
        <f aca="false">IF($A38&lt;=$C$3*12,$C38-$D38,"")</f>
        <v>523.933221738563</v>
      </c>
      <c r="F38" s="29" t="n">
        <f aca="false">IF($A38&lt;=$C$3*12,$F37-$E38,"")</f>
        <v>335082.516241459</v>
      </c>
    </row>
    <row r="39" customFormat="false" ht="13.8" hidden="false" customHeight="false" outlineLevel="0" collapsed="false">
      <c r="A39" s="27" t="n">
        <v>31</v>
      </c>
      <c r="B39" s="28" t="n">
        <f aca="false">IF($A39&lt;=$C$3*12,$A39,"")</f>
        <v>31</v>
      </c>
      <c r="C39" s="29" t="n">
        <f aca="false">IF($A39&lt;=$C$3*12,$E$3,"")</f>
        <v>1747.49840207314</v>
      </c>
      <c r="D39" s="29" t="n">
        <f aca="false">IF($A39&lt;=$C$3*12,F38*C$2/12,"")</f>
        <v>1221.65500713032</v>
      </c>
      <c r="E39" s="29" t="n">
        <f aca="false">IF($A39&lt;=$C$3*12,$C39-$D39,"")</f>
        <v>525.843394942819</v>
      </c>
      <c r="F39" s="29" t="n">
        <f aca="false">IF($A39&lt;=$C$3*12,$F38-$E39,"")</f>
        <v>334556.672846516</v>
      </c>
    </row>
    <row r="40" customFormat="false" ht="13.8" hidden="false" customHeight="false" outlineLevel="0" collapsed="false">
      <c r="A40" s="27" t="n">
        <v>32</v>
      </c>
      <c r="B40" s="28" t="n">
        <f aca="false">IF($A40&lt;=$C$3*12,$A40,"")</f>
        <v>32</v>
      </c>
      <c r="C40" s="29" t="n">
        <f aca="false">IF($A40&lt;=$C$3*12,$E$3,"")</f>
        <v>1747.49840207314</v>
      </c>
      <c r="D40" s="29" t="n">
        <f aca="false">IF($A40&lt;=$C$3*12,F39*C$2/12,"")</f>
        <v>1219.73786975292</v>
      </c>
      <c r="E40" s="29" t="n">
        <f aca="false">IF($A40&lt;=$C$3*12,$C40-$D40,"")</f>
        <v>527.760532320214</v>
      </c>
      <c r="F40" s="29" t="n">
        <f aca="false">IF($A40&lt;=$C$3*12,$F39-$E40,"")</f>
        <v>334028.912314196</v>
      </c>
    </row>
    <row r="41" customFormat="false" ht="13.8" hidden="false" customHeight="false" outlineLevel="0" collapsed="false">
      <c r="A41" s="27" t="n">
        <v>33</v>
      </c>
      <c r="B41" s="28" t="n">
        <f aca="false">IF($A41&lt;=$C$3*12,$A41,"")</f>
        <v>33</v>
      </c>
      <c r="C41" s="29" t="n">
        <f aca="false">IF($A41&lt;=$C$3*12,$E$3,"")</f>
        <v>1747.49840207314</v>
      </c>
      <c r="D41" s="29" t="n">
        <f aca="false">IF($A41&lt;=$C$3*12,F40*C$2/12,"")</f>
        <v>1217.81374281217</v>
      </c>
      <c r="E41" s="29" t="n">
        <f aca="false">IF($A41&lt;=$C$3*12,$C41-$D41,"")</f>
        <v>529.684659260965</v>
      </c>
      <c r="F41" s="29" t="n">
        <f aca="false">IF($A41&lt;=$C$3*12,$F40-$E41,"")</f>
        <v>333499.227654935</v>
      </c>
    </row>
    <row r="42" customFormat="false" ht="13.8" hidden="false" customHeight="false" outlineLevel="0" collapsed="false">
      <c r="A42" s="27" t="n">
        <v>34</v>
      </c>
      <c r="B42" s="28" t="n">
        <f aca="false">IF($A42&lt;=$C$3*12,$A42,"")</f>
        <v>34</v>
      </c>
      <c r="C42" s="29" t="n">
        <f aca="false">IF($A42&lt;=$C$3*12,$E$3,"")</f>
        <v>1747.49840207314</v>
      </c>
      <c r="D42" s="29" t="n">
        <f aca="false">IF($A42&lt;=$C$3*12,F41*C$2/12,"")</f>
        <v>1215.88260082528</v>
      </c>
      <c r="E42" s="29" t="n">
        <f aca="false">IF($A42&lt;=$C$3*12,$C42-$D42,"")</f>
        <v>531.615801247854</v>
      </c>
      <c r="F42" s="29" t="n">
        <f aca="false">IF($A42&lt;=$C$3*12,$F41-$E42,"")</f>
        <v>332967.611853687</v>
      </c>
    </row>
    <row r="43" customFormat="false" ht="13.8" hidden="false" customHeight="false" outlineLevel="0" collapsed="false">
      <c r="A43" s="27" t="n">
        <v>35</v>
      </c>
      <c r="B43" s="28" t="n">
        <f aca="false">IF($A43&lt;=$C$3*12,$A43,"")</f>
        <v>35</v>
      </c>
      <c r="C43" s="29" t="n">
        <f aca="false">IF($A43&lt;=$C$3*12,$E$3,"")</f>
        <v>1747.49840207314</v>
      </c>
      <c r="D43" s="29" t="n">
        <f aca="false">IF($A43&lt;=$C$3*12,F42*C$2/12,"")</f>
        <v>1213.94441821657</v>
      </c>
      <c r="E43" s="29" t="n">
        <f aca="false">IF($A43&lt;=$C$3*12,$C43-$D43,"")</f>
        <v>533.55398385657</v>
      </c>
      <c r="F43" s="29" t="n">
        <f aca="false">IF($A43&lt;=$C$3*12,$F42-$E43,"")</f>
        <v>332434.05786983</v>
      </c>
    </row>
    <row r="44" customFormat="false" ht="13.8" hidden="false" customHeight="false" outlineLevel="0" collapsed="false">
      <c r="A44" s="27" t="n">
        <v>36</v>
      </c>
      <c r="B44" s="28" t="n">
        <f aca="false">IF($A44&lt;=$C$3*12,$A44,"")</f>
        <v>36</v>
      </c>
      <c r="C44" s="29" t="n">
        <f aca="false">IF($A44&lt;=$C$3*12,$E$3,"")</f>
        <v>1747.49840207314</v>
      </c>
      <c r="D44" s="29" t="n">
        <f aca="false">IF($A44&lt;=$C$3*12,F43*C$2/12,"")</f>
        <v>1211.99916931709</v>
      </c>
      <c r="E44" s="29" t="n">
        <f aca="false">IF($A44&lt;=$C$3*12,$C44-$D44,"")</f>
        <v>535.499232756047</v>
      </c>
      <c r="F44" s="29" t="n">
        <f aca="false">IF($A44&lt;=$C$3*12,$F43-$E44,"")</f>
        <v>331898.558637074</v>
      </c>
    </row>
    <row r="45" customFormat="false" ht="13.8" hidden="false" customHeight="false" outlineLevel="0" collapsed="false">
      <c r="A45" s="27" t="n">
        <v>37</v>
      </c>
      <c r="B45" s="28" t="n">
        <f aca="false">IF($A45&lt;=$C$3*12,$A45,"")</f>
        <v>37</v>
      </c>
      <c r="C45" s="29" t="n">
        <f aca="false">IF($A45&lt;=$C$3*12,$E$3,"")</f>
        <v>1747.49840207314</v>
      </c>
      <c r="D45" s="29" t="n">
        <f aca="false">IF($A45&lt;=$C$3*12,F44*C$2/12,"")</f>
        <v>1210.04682836433</v>
      </c>
      <c r="E45" s="29" t="n">
        <f aca="false">IF($A45&lt;=$C$3*12,$C45-$D45,"")</f>
        <v>537.451573708803</v>
      </c>
      <c r="F45" s="29" t="n">
        <f aca="false">IF($A45&lt;=$C$3*12,$F44-$E45,"")</f>
        <v>331361.107063365</v>
      </c>
    </row>
    <row r="46" customFormat="false" ht="13.8" hidden="false" customHeight="false" outlineLevel="0" collapsed="false">
      <c r="A46" s="27" t="n">
        <v>38</v>
      </c>
      <c r="B46" s="28" t="n">
        <f aca="false">IF($A46&lt;=$C$3*12,$A46,"")</f>
        <v>38</v>
      </c>
      <c r="C46" s="29" t="n">
        <f aca="false">IF($A46&lt;=$C$3*12,$E$3,"")</f>
        <v>1747.49840207314</v>
      </c>
      <c r="D46" s="29" t="n">
        <f aca="false">IF($A46&lt;=$C$3*12,F45*C$2/12,"")</f>
        <v>1208.08736950185</v>
      </c>
      <c r="E46" s="29" t="n">
        <f aca="false">IF($A46&lt;=$C$3*12,$C46-$D46,"")</f>
        <v>539.411032571283</v>
      </c>
      <c r="F46" s="29" t="n">
        <f aca="false">IF($A46&lt;=$C$3*12,$F45-$E46,"")</f>
        <v>330821.696030794</v>
      </c>
    </row>
    <row r="47" customFormat="false" ht="13.8" hidden="false" customHeight="false" outlineLevel="0" collapsed="false">
      <c r="A47" s="27" t="n">
        <v>39</v>
      </c>
      <c r="B47" s="28" t="n">
        <f aca="false">IF($A47&lt;=$C$3*12,$A47,"")</f>
        <v>39</v>
      </c>
      <c r="C47" s="29" t="n">
        <f aca="false">IF($A47&lt;=$C$3*12,$E$3,"")</f>
        <v>1747.49840207314</v>
      </c>
      <c r="D47" s="29" t="n">
        <f aca="false">IF($A47&lt;=$C$3*12,F46*C$2/12,"")</f>
        <v>1206.12076677894</v>
      </c>
      <c r="E47" s="29" t="n">
        <f aca="false">IF($A47&lt;=$C$3*12,$C47-$D47,"")</f>
        <v>541.3776352942</v>
      </c>
      <c r="F47" s="29" t="n">
        <f aca="false">IF($A47&lt;=$C$3*12,$F46-$E47,"")</f>
        <v>330280.3183955</v>
      </c>
    </row>
    <row r="48" customFormat="false" ht="13.8" hidden="false" customHeight="false" outlineLevel="0" collapsed="false">
      <c r="A48" s="27" t="n">
        <v>40</v>
      </c>
      <c r="B48" s="28" t="n">
        <f aca="false">IF($A48&lt;=$C$3*12,$A48,"")</f>
        <v>40</v>
      </c>
      <c r="C48" s="29" t="n">
        <f aca="false">IF($A48&lt;=$C$3*12,$E$3,"")</f>
        <v>1747.49840207314</v>
      </c>
      <c r="D48" s="29" t="n">
        <f aca="false">IF($A48&lt;=$C$3*12,F47*C$2/12,"")</f>
        <v>1204.14699415026</v>
      </c>
      <c r="E48" s="29" t="n">
        <f aca="false">IF($A48&lt;=$C$3*12,$C48-$D48,"")</f>
        <v>543.351407922876</v>
      </c>
      <c r="F48" s="29" t="n">
        <f aca="false">IF($A48&lt;=$C$3*12,$F47-$E48,"")</f>
        <v>329736.966987577</v>
      </c>
    </row>
    <row r="49" customFormat="false" ht="13.8" hidden="false" customHeight="false" outlineLevel="0" collapsed="false">
      <c r="A49" s="27" t="n">
        <v>41</v>
      </c>
      <c r="B49" s="28" t="n">
        <f aca="false">IF($A49&lt;=$C$3*12,$A49,"")</f>
        <v>41</v>
      </c>
      <c r="C49" s="29" t="n">
        <f aca="false">IF($A49&lt;=$C$3*12,$E$3,"")</f>
        <v>1747.49840207314</v>
      </c>
      <c r="D49" s="29" t="n">
        <f aca="false">IF($A49&lt;=$C$3*12,F48*C$2/12,"")</f>
        <v>1202.16602547554</v>
      </c>
      <c r="E49" s="29" t="n">
        <f aca="false">IF($A49&lt;=$C$3*12,$C49-$D49,"")</f>
        <v>545.332376597595</v>
      </c>
      <c r="F49" s="29" t="n">
        <f aca="false">IF($A49&lt;=$C$3*12,$F48-$E49,"")</f>
        <v>329191.634610979</v>
      </c>
    </row>
    <row r="50" customFormat="false" ht="13.8" hidden="false" customHeight="false" outlineLevel="0" collapsed="false">
      <c r="A50" s="27" t="n">
        <v>42</v>
      </c>
      <c r="B50" s="28" t="n">
        <f aca="false">IF($A50&lt;=$C$3*12,$A50,"")</f>
        <v>42</v>
      </c>
      <c r="C50" s="29" t="n">
        <f aca="false">IF($A50&lt;=$C$3*12,$E$3,"")</f>
        <v>1747.49840207314</v>
      </c>
      <c r="D50" s="29" t="n">
        <f aca="false">IF($A50&lt;=$C$3*12,F49*C$2/12,"")</f>
        <v>1200.1778345192</v>
      </c>
      <c r="E50" s="29" t="n">
        <f aca="false">IF($A50&lt;=$C$3*12,$C50-$D50,"")</f>
        <v>547.320567553941</v>
      </c>
      <c r="F50" s="29" t="n">
        <f aca="false">IF($A50&lt;=$C$3*12,$F49-$E50,"")</f>
        <v>328644.314043425</v>
      </c>
    </row>
    <row r="51" customFormat="false" ht="13.8" hidden="false" customHeight="false" outlineLevel="0" collapsed="false">
      <c r="A51" s="27" t="n">
        <v>43</v>
      </c>
      <c r="B51" s="28" t="n">
        <f aca="false">IF($A51&lt;=$C$3*12,$A51,"")</f>
        <v>43</v>
      </c>
      <c r="C51" s="29" t="n">
        <f aca="false">IF($A51&lt;=$C$3*12,$E$3,"")</f>
        <v>1747.49840207314</v>
      </c>
      <c r="D51" s="29" t="n">
        <f aca="false">IF($A51&lt;=$C$3*12,F50*C$2/12,"")</f>
        <v>1198.18239494999</v>
      </c>
      <c r="E51" s="29" t="n">
        <f aca="false">IF($A51&lt;=$C$3*12,$C51-$D51,"")</f>
        <v>549.316007123148</v>
      </c>
      <c r="F51" s="29" t="n">
        <f aca="false">IF($A51&lt;=$C$3*12,$F50-$E51,"")</f>
        <v>328094.998036302</v>
      </c>
    </row>
    <row r="52" customFormat="false" ht="13.8" hidden="false" customHeight="false" outlineLevel="0" collapsed="false">
      <c r="A52" s="27" t="n">
        <v>44</v>
      </c>
      <c r="B52" s="28" t="n">
        <f aca="false">IF($A52&lt;=$C$3*12,$A52,"")</f>
        <v>44</v>
      </c>
      <c r="C52" s="29" t="n">
        <f aca="false">IF($A52&lt;=$C$3*12,$E$3,"")</f>
        <v>1747.49840207314</v>
      </c>
      <c r="D52" s="29" t="n">
        <f aca="false">IF($A52&lt;=$C$3*12,F51*C$2/12,"")</f>
        <v>1196.17968034069</v>
      </c>
      <c r="E52" s="29" t="n">
        <f aca="false">IF($A52&lt;=$C$3*12,$C52-$D52,"")</f>
        <v>551.318721732451</v>
      </c>
      <c r="F52" s="29" t="n">
        <f aca="false">IF($A52&lt;=$C$3*12,$F51-$E52,"")</f>
        <v>327543.67931457</v>
      </c>
    </row>
    <row r="53" customFormat="false" ht="13.8" hidden="false" customHeight="false" outlineLevel="0" collapsed="false">
      <c r="A53" s="27" t="n">
        <v>45</v>
      </c>
      <c r="B53" s="28" t="n">
        <f aca="false">IF($A53&lt;=$C$3*12,$A53,"")</f>
        <v>45</v>
      </c>
      <c r="C53" s="29" t="n">
        <f aca="false">IF($A53&lt;=$C$3*12,$E$3,"")</f>
        <v>1747.49840207314</v>
      </c>
      <c r="D53" s="29" t="n">
        <f aca="false">IF($A53&lt;=$C$3*12,F52*C$2/12,"")</f>
        <v>1194.1696641677</v>
      </c>
      <c r="E53" s="29" t="n">
        <f aca="false">IF($A53&lt;=$C$3*12,$C53-$D53,"")</f>
        <v>553.328737905434</v>
      </c>
      <c r="F53" s="29" t="n">
        <f aca="false">IF($A53&lt;=$C$3*12,$F52-$E53,"")</f>
        <v>326990.350576664</v>
      </c>
    </row>
    <row r="54" customFormat="false" ht="13.8" hidden="false" customHeight="false" outlineLevel="0" collapsed="false">
      <c r="A54" s="27" t="n">
        <v>46</v>
      </c>
      <c r="B54" s="28" t="n">
        <f aca="false">IF($A54&lt;=$C$3*12,$A54,"")</f>
        <v>46</v>
      </c>
      <c r="C54" s="29" t="n">
        <f aca="false">IF($A54&lt;=$C$3*12,$E$3,"")</f>
        <v>1747.49840207314</v>
      </c>
      <c r="D54" s="29" t="n">
        <f aca="false">IF($A54&lt;=$C$3*12,F53*C$2/12,"")</f>
        <v>1192.15231981076</v>
      </c>
      <c r="E54" s="29" t="n">
        <f aca="false">IF($A54&lt;=$C$3*12,$C54-$D54,"")</f>
        <v>555.346082262381</v>
      </c>
      <c r="F54" s="29" t="n">
        <f aca="false">IF($A54&lt;=$C$3*12,$F53-$E54,"")</f>
        <v>326435.004494402</v>
      </c>
    </row>
    <row r="55" customFormat="false" ht="13.8" hidden="false" customHeight="false" outlineLevel="0" collapsed="false">
      <c r="A55" s="27" t="n">
        <v>47</v>
      </c>
      <c r="B55" s="28" t="n">
        <f aca="false">IF($A55&lt;=$C$3*12,$A55,"")</f>
        <v>47</v>
      </c>
      <c r="C55" s="29" t="n">
        <f aca="false">IF($A55&lt;=$C$3*12,$E$3,"")</f>
        <v>1747.49840207314</v>
      </c>
      <c r="D55" s="29" t="n">
        <f aca="false">IF($A55&lt;=$C$3*12,F54*C$2/12,"")</f>
        <v>1190.12762055251</v>
      </c>
      <c r="E55" s="29" t="n">
        <f aca="false">IF($A55&lt;=$C$3*12,$C55-$D55,"")</f>
        <v>557.370781520629</v>
      </c>
      <c r="F55" s="29" t="n">
        <f aca="false">IF($A55&lt;=$C$3*12,$F54-$E55,"")</f>
        <v>325877.633712881</v>
      </c>
    </row>
    <row r="56" customFormat="false" ht="13.8" hidden="false" customHeight="false" outlineLevel="0" collapsed="false">
      <c r="A56" s="27" t="n">
        <v>48</v>
      </c>
      <c r="B56" s="28" t="n">
        <f aca="false">IF($A56&lt;=$C$3*12,$A56,"")</f>
        <v>48</v>
      </c>
      <c r="C56" s="29" t="n">
        <f aca="false">IF($A56&lt;=$C$3*12,$E$3,"")</f>
        <v>1747.49840207314</v>
      </c>
      <c r="D56" s="29" t="n">
        <f aca="false">IF($A56&lt;=$C$3*12,F55*C$2/12,"")</f>
        <v>1188.09553957821</v>
      </c>
      <c r="E56" s="29" t="n">
        <f aca="false">IF($A56&lt;=$C$3*12,$C56-$D56,"")</f>
        <v>559.402862494923</v>
      </c>
      <c r="F56" s="29" t="n">
        <f aca="false">IF($A56&lt;=$C$3*12,$F55-$E56,"")</f>
        <v>325318.230850386</v>
      </c>
    </row>
    <row r="57" customFormat="false" ht="13.8" hidden="false" customHeight="false" outlineLevel="0" collapsed="false">
      <c r="A57" s="27" t="n">
        <v>49</v>
      </c>
      <c r="B57" s="28" t="n">
        <f aca="false">IF($A57&lt;=$C$3*12,$A57,"")</f>
        <v>49</v>
      </c>
      <c r="C57" s="29" t="n">
        <f aca="false">IF($A57&lt;=$C$3*12,$E$3,"")</f>
        <v>1747.49840207314</v>
      </c>
      <c r="D57" s="29" t="n">
        <f aca="false">IF($A57&lt;=$C$3*12,F56*C$2/12,"")</f>
        <v>1186.05604997537</v>
      </c>
      <c r="E57" s="29" t="n">
        <f aca="false">IF($A57&lt;=$C$3*12,$C57-$D57,"")</f>
        <v>561.442352097769</v>
      </c>
      <c r="F57" s="29" t="n">
        <f aca="false">IF($A57&lt;=$C$3*12,$F56-$E57,"")</f>
        <v>324756.788498289</v>
      </c>
    </row>
    <row r="58" customFormat="false" ht="13.8" hidden="false" customHeight="false" outlineLevel="0" collapsed="false">
      <c r="A58" s="27" t="n">
        <v>50</v>
      </c>
      <c r="B58" s="28" t="n">
        <f aca="false">IF($A58&lt;=$C$3*12,$A58,"")</f>
        <v>50</v>
      </c>
      <c r="C58" s="29" t="n">
        <f aca="false">IF($A58&lt;=$C$3*12,$E$3,"")</f>
        <v>1747.49840207314</v>
      </c>
      <c r="D58" s="29" t="n">
        <f aca="false">IF($A58&lt;=$C$3*12,F57*C$2/12,"")</f>
        <v>1184.00912473334</v>
      </c>
      <c r="E58" s="29" t="n">
        <f aca="false">IF($A58&lt;=$C$3*12,$C58-$D58,"")</f>
        <v>563.489277339792</v>
      </c>
      <c r="F58" s="29" t="n">
        <f aca="false">IF($A58&lt;=$C$3*12,$F57-$E58,"")</f>
        <v>324193.299220949</v>
      </c>
    </row>
    <row r="59" customFormat="false" ht="13.8" hidden="false" customHeight="false" outlineLevel="0" collapsed="false">
      <c r="A59" s="27" t="n">
        <v>51</v>
      </c>
      <c r="B59" s="28" t="n">
        <f aca="false">IF($A59&lt;=$C$3*12,$A59,"")</f>
        <v>51</v>
      </c>
      <c r="C59" s="29" t="n">
        <f aca="false">IF($A59&lt;=$C$3*12,$E$3,"")</f>
        <v>1747.49840207314</v>
      </c>
      <c r="D59" s="29" t="n">
        <f aca="false">IF($A59&lt;=$C$3*12,F58*C$2/12,"")</f>
        <v>1181.95473674304</v>
      </c>
      <c r="E59" s="29" t="n">
        <f aca="false">IF($A59&lt;=$C$3*12,$C59-$D59,"")</f>
        <v>565.543665330093</v>
      </c>
      <c r="F59" s="29" t="n">
        <f aca="false">IF($A59&lt;=$C$3*12,$F58-$E59,"")</f>
        <v>323627.755555619</v>
      </c>
    </row>
    <row r="60" customFormat="false" ht="13.8" hidden="false" customHeight="false" outlineLevel="0" collapsed="false">
      <c r="A60" s="27" t="n">
        <v>52</v>
      </c>
      <c r="B60" s="28" t="n">
        <f aca="false">IF($A60&lt;=$C$3*12,$A60,"")</f>
        <v>52</v>
      </c>
      <c r="C60" s="29" t="n">
        <f aca="false">IF($A60&lt;=$C$3*12,$E$3,"")</f>
        <v>1747.49840207314</v>
      </c>
      <c r="D60" s="29" t="n">
        <f aca="false">IF($A60&lt;=$C$3*12,F59*C$2/12,"")</f>
        <v>1179.89285879653</v>
      </c>
      <c r="E60" s="29" t="n">
        <f aca="false">IF($A60&lt;=$C$3*12,$C60-$D60,"")</f>
        <v>567.605543276609</v>
      </c>
      <c r="F60" s="29" t="n">
        <f aca="false">IF($A60&lt;=$C$3*12,$F59-$E60,"")</f>
        <v>323060.150012342</v>
      </c>
    </row>
    <row r="61" customFormat="false" ht="13.8" hidden="false" customHeight="false" outlineLevel="0" collapsed="false">
      <c r="A61" s="27" t="n">
        <v>53</v>
      </c>
      <c r="B61" s="28" t="n">
        <f aca="false">IF($A61&lt;=$C$3*12,$A61,"")</f>
        <v>53</v>
      </c>
      <c r="C61" s="29" t="n">
        <f aca="false">IF($A61&lt;=$C$3*12,$E$3,"")</f>
        <v>1747.49840207314</v>
      </c>
      <c r="D61" s="29" t="n">
        <f aca="false">IF($A61&lt;=$C$3*12,F60*C$2/12,"")</f>
        <v>1177.82346358666</v>
      </c>
      <c r="E61" s="29" t="n">
        <f aca="false">IF($A61&lt;=$C$3*12,$C61-$D61,"")</f>
        <v>569.674938486472</v>
      </c>
      <c r="F61" s="29" t="n">
        <f aca="false">IF($A61&lt;=$C$3*12,$F60-$E61,"")</f>
        <v>322490.475073856</v>
      </c>
    </row>
    <row r="62" customFormat="false" ht="13.8" hidden="false" customHeight="false" outlineLevel="0" collapsed="false">
      <c r="A62" s="27" t="n">
        <v>54</v>
      </c>
      <c r="B62" s="28" t="n">
        <f aca="false">IF($A62&lt;=$C$3*12,$A62,"")</f>
        <v>54</v>
      </c>
      <c r="C62" s="29" t="n">
        <f aca="false">IF($A62&lt;=$C$3*12,$E$3,"")</f>
        <v>1747.49840207314</v>
      </c>
      <c r="D62" s="29" t="n">
        <f aca="false">IF($A62&lt;=$C$3*12,F61*C$2/12,"")</f>
        <v>1175.74652370677</v>
      </c>
      <c r="E62" s="29" t="n">
        <f aca="false">IF($A62&lt;=$C$3*12,$C62-$D62,"")</f>
        <v>571.75187836637</v>
      </c>
      <c r="F62" s="29" t="n">
        <f aca="false">IF($A62&lt;=$C$3*12,$F61-$E62,"")</f>
        <v>321918.723195489</v>
      </c>
    </row>
    <row r="63" customFormat="false" ht="13.8" hidden="false" customHeight="false" outlineLevel="0" collapsed="false">
      <c r="A63" s="27" t="n">
        <v>55</v>
      </c>
      <c r="B63" s="28" t="n">
        <f aca="false">IF($A63&lt;=$C$3*12,$A63,"")</f>
        <v>55</v>
      </c>
      <c r="C63" s="29" t="n">
        <f aca="false">IF($A63&lt;=$C$3*12,$E$3,"")</f>
        <v>1747.49840207314</v>
      </c>
      <c r="D63" s="29" t="n">
        <f aca="false">IF($A63&lt;=$C$3*12,F62*C$2/12,"")</f>
        <v>1173.66201165022</v>
      </c>
      <c r="E63" s="29" t="n">
        <f aca="false">IF($A63&lt;=$C$3*12,$C63-$D63,"")</f>
        <v>573.836390422915</v>
      </c>
      <c r="F63" s="29" t="n">
        <f aca="false">IF($A63&lt;=$C$3*12,$F62-$E63,"")</f>
        <v>321344.886805066</v>
      </c>
    </row>
    <row r="64" customFormat="false" ht="13.8" hidden="false" customHeight="false" outlineLevel="0" collapsed="false">
      <c r="A64" s="27" t="n">
        <v>56</v>
      </c>
      <c r="B64" s="28" t="n">
        <f aca="false">IF($A64&lt;=$C$3*12,$A64,"")</f>
        <v>56</v>
      </c>
      <c r="C64" s="29" t="n">
        <f aca="false">IF($A64&lt;=$C$3*12,$E$3,"")</f>
        <v>1747.49840207314</v>
      </c>
      <c r="D64" s="29" t="n">
        <f aca="false">IF($A64&lt;=$C$3*12,F63*C$2/12,"")</f>
        <v>1171.56989981014</v>
      </c>
      <c r="E64" s="29" t="n">
        <f aca="false">IF($A64&lt;=$C$3*12,$C64-$D64,"")</f>
        <v>575.928502262998</v>
      </c>
      <c r="F64" s="29" t="n">
        <f aca="false">IF($A64&lt;=$C$3*12,$F63-$E64,"")</f>
        <v>320768.958302803</v>
      </c>
    </row>
    <row r="65" customFormat="false" ht="13.8" hidden="false" customHeight="false" outlineLevel="0" collapsed="false">
      <c r="A65" s="27" t="n">
        <v>57</v>
      </c>
      <c r="B65" s="28" t="n">
        <f aca="false">IF($A65&lt;=$C$3*12,$A65,"")</f>
        <v>57</v>
      </c>
      <c r="C65" s="29" t="n">
        <f aca="false">IF($A65&lt;=$C$3*12,$E$3,"")</f>
        <v>1747.49840207314</v>
      </c>
      <c r="D65" s="29" t="n">
        <f aca="false">IF($A65&lt;=$C$3*12,F64*C$2/12,"")</f>
        <v>1169.47016047897</v>
      </c>
      <c r="E65" s="29" t="n">
        <f aca="false">IF($A65&lt;=$C$3*12,$C65-$D65,"")</f>
        <v>578.028241594165</v>
      </c>
      <c r="F65" s="29" t="n">
        <f aca="false">IF($A65&lt;=$C$3*12,$F64-$E65,"")</f>
        <v>320190.930061209</v>
      </c>
    </row>
    <row r="66" customFormat="false" ht="13.8" hidden="false" customHeight="false" outlineLevel="0" collapsed="false">
      <c r="A66" s="27" t="n">
        <v>58</v>
      </c>
      <c r="B66" s="28" t="n">
        <f aca="false">IF($A66&lt;=$C$3*12,$A66,"")</f>
        <v>58</v>
      </c>
      <c r="C66" s="29" t="n">
        <f aca="false">IF($A66&lt;=$C$3*12,$E$3,"")</f>
        <v>1747.49840207314</v>
      </c>
      <c r="D66" s="29" t="n">
        <f aca="false">IF($A66&lt;=$C$3*12,F65*C$2/12,"")</f>
        <v>1167.36276584816</v>
      </c>
      <c r="E66" s="29" t="n">
        <f aca="false">IF($A66&lt;=$C$3*12,$C66-$D66,"")</f>
        <v>580.135636224977</v>
      </c>
      <c r="F66" s="29" t="n">
        <f aca="false">IF($A66&lt;=$C$3*12,$F65-$E66,"")</f>
        <v>319610.794424984</v>
      </c>
    </row>
    <row r="67" customFormat="false" ht="13.8" hidden="false" customHeight="false" outlineLevel="0" collapsed="false">
      <c r="A67" s="27" t="n">
        <v>59</v>
      </c>
      <c r="B67" s="28" t="n">
        <f aca="false">IF($A67&lt;=$C$3*12,$A67,"")</f>
        <v>59</v>
      </c>
      <c r="C67" s="29" t="n">
        <f aca="false">IF($A67&lt;=$C$3*12,$E$3,"")</f>
        <v>1747.49840207314</v>
      </c>
      <c r="D67" s="29" t="n">
        <f aca="false">IF($A67&lt;=$C$3*12,F66*C$2/12,"")</f>
        <v>1165.24768800776</v>
      </c>
      <c r="E67" s="29" t="n">
        <f aca="false">IF($A67&lt;=$C$3*12,$C67-$D67,"")</f>
        <v>582.250714065381</v>
      </c>
      <c r="F67" s="29" t="n">
        <f aca="false">IF($A67&lt;=$C$3*12,$F66-$E67,"")</f>
        <v>319028.543710919</v>
      </c>
    </row>
    <row r="68" customFormat="false" ht="13.8" hidden="false" customHeight="false" outlineLevel="0" collapsed="false">
      <c r="A68" s="27" t="n">
        <v>60</v>
      </c>
      <c r="B68" s="28" t="n">
        <f aca="false">IF($A68&lt;=$C$3*12,$A68,"")</f>
        <v>60</v>
      </c>
      <c r="C68" s="29" t="n">
        <f aca="false">IF($A68&lt;=$C$3*12,$E$3,"")</f>
        <v>1747.49840207314</v>
      </c>
      <c r="D68" s="29" t="n">
        <f aca="false">IF($A68&lt;=$C$3*12,F67*C$2/12,"")</f>
        <v>1163.12489894606</v>
      </c>
      <c r="E68" s="29" t="n">
        <f aca="false">IF($A68&lt;=$C$3*12,$C68-$D68,"")</f>
        <v>584.373503127078</v>
      </c>
      <c r="F68" s="29" t="n">
        <f aca="false">IF($A68&lt;=$C$3*12,$F67-$E68,"")</f>
        <v>318444.170207792</v>
      </c>
      <c r="H68" s="30" t="s">
        <v>22</v>
      </c>
      <c r="I68" s="29" t="n">
        <f aca="false">PV($C$2/12,$C$3*12-$A68,-$E$3,0,0)</f>
        <v>318444.170207793</v>
      </c>
    </row>
    <row r="69" customFormat="false" ht="13.8" hidden="false" customHeight="false" outlineLevel="0" collapsed="false">
      <c r="A69" s="27" t="n">
        <v>61</v>
      </c>
      <c r="B69" s="28" t="n">
        <f aca="false">IF($A69&lt;=$C$3*12,$A69,"")</f>
        <v>61</v>
      </c>
      <c r="C69" s="29" t="n">
        <f aca="false">IF($A69&lt;=$C$3*12,$E$3,"")</f>
        <v>1747.49840207314</v>
      </c>
      <c r="D69" s="29" t="n">
        <f aca="false">IF($A69&lt;=$C$3*12,F68*C$2/12,"")</f>
        <v>1160.99437054924</v>
      </c>
      <c r="E69" s="29" t="n">
        <f aca="false">IF($A69&lt;=$C$3*12,$C69-$D69,"")</f>
        <v>586.504031523895</v>
      </c>
      <c r="F69" s="29" t="n">
        <f aca="false">IF($A69&lt;=$C$3*12,$F68-$E69,"")</f>
        <v>317857.666176268</v>
      </c>
    </row>
    <row r="70" customFormat="false" ht="13.8" hidden="false" customHeight="false" outlineLevel="0" collapsed="false">
      <c r="A70" s="27" t="n">
        <v>62</v>
      </c>
      <c r="B70" s="28" t="n">
        <f aca="false">IF($A70&lt;=$C$3*12,$A70,"")</f>
        <v>62</v>
      </c>
      <c r="C70" s="29" t="n">
        <f aca="false">IF($A70&lt;=$C$3*12,$E$3,"")</f>
        <v>1747.49840207314</v>
      </c>
      <c r="D70" s="29" t="n">
        <f aca="false">IF($A70&lt;=$C$3*12,F69*C$2/12,"")</f>
        <v>1158.85607460098</v>
      </c>
      <c r="E70" s="29" t="n">
        <f aca="false">IF($A70&lt;=$C$3*12,$C70-$D70,"")</f>
        <v>588.642327472159</v>
      </c>
      <c r="F70" s="29" t="n">
        <f aca="false">IF($A70&lt;=$C$3*12,$F69-$E70,"")</f>
        <v>317269.023848796</v>
      </c>
    </row>
    <row r="71" customFormat="false" ht="13.8" hidden="false" customHeight="false" outlineLevel="0" collapsed="false">
      <c r="A71" s="27" t="n">
        <v>63</v>
      </c>
      <c r="B71" s="28" t="n">
        <f aca="false">IF($A71&lt;=$C$3*12,$A71,"")</f>
        <v>63</v>
      </c>
      <c r="C71" s="29" t="n">
        <f aca="false">IF($A71&lt;=$C$3*12,$E$3,"")</f>
        <v>1747.49840207314</v>
      </c>
      <c r="D71" s="29" t="n">
        <f aca="false">IF($A71&lt;=$C$3*12,F70*C$2/12,"")</f>
        <v>1156.70998278207</v>
      </c>
      <c r="E71" s="29" t="n">
        <f aca="false">IF($A71&lt;=$C$3*12,$C71-$D71,"")</f>
        <v>590.788419291068</v>
      </c>
      <c r="F71" s="29" t="n">
        <f aca="false">IF($A71&lt;=$C$3*12,$F70-$E71,"")</f>
        <v>316678.235429505</v>
      </c>
    </row>
    <row r="72" customFormat="false" ht="13.8" hidden="false" customHeight="false" outlineLevel="0" collapsed="false">
      <c r="A72" s="27" t="n">
        <v>64</v>
      </c>
      <c r="B72" s="28" t="n">
        <f aca="false">IF($A72&lt;=$C$3*12,$A72,"")</f>
        <v>64</v>
      </c>
      <c r="C72" s="29" t="n">
        <f aca="false">IF($A72&lt;=$C$3*12,$E$3,"")</f>
        <v>1747.49840207314</v>
      </c>
      <c r="D72" s="29" t="n">
        <f aca="false">IF($A72&lt;=$C$3*12,F71*C$2/12,"")</f>
        <v>1154.55606667007</v>
      </c>
      <c r="E72" s="29" t="n">
        <f aca="false">IF($A72&lt;=$C$3*12,$C72-$D72,"")</f>
        <v>592.942335403067</v>
      </c>
      <c r="F72" s="29" t="n">
        <f aca="false">IF($A72&lt;=$C$3*12,$F71-$E72,"")</f>
        <v>316085.293094102</v>
      </c>
    </row>
    <row r="73" customFormat="false" ht="13.8" hidden="false" customHeight="false" outlineLevel="0" collapsed="false">
      <c r="A73" s="27" t="n">
        <v>65</v>
      </c>
      <c r="B73" s="28" t="n">
        <f aca="false">IF($A73&lt;=$C$3*12,$A73,"")</f>
        <v>65</v>
      </c>
      <c r="C73" s="29" t="n">
        <f aca="false">IF($A73&lt;=$C$3*12,$E$3,"")</f>
        <v>1747.49840207314</v>
      </c>
      <c r="D73" s="29" t="n">
        <f aca="false">IF($A73&lt;=$C$3*12,F72*C$2/12,"")</f>
        <v>1152.39429773891</v>
      </c>
      <c r="E73" s="29" t="n">
        <f aca="false">IF($A73&lt;=$C$3*12,$C73-$D73,"")</f>
        <v>595.104104334224</v>
      </c>
      <c r="F73" s="29" t="n">
        <f aca="false">IF($A73&lt;=$C$3*12,$F72-$E73,"")</f>
        <v>315490.188989768</v>
      </c>
    </row>
    <row r="74" customFormat="false" ht="13.8" hidden="false" customHeight="false" outlineLevel="0" collapsed="false">
      <c r="A74" s="27" t="n">
        <v>66</v>
      </c>
      <c r="B74" s="28" t="n">
        <f aca="false">IF($A74&lt;=$C$3*12,$A74,"")</f>
        <v>66</v>
      </c>
      <c r="C74" s="29" t="n">
        <f aca="false">IF($A74&lt;=$C$3*12,$E$3,"")</f>
        <v>1747.49840207314</v>
      </c>
      <c r="D74" s="29" t="n">
        <f aca="false">IF($A74&lt;=$C$3*12,F73*C$2/12,"")</f>
        <v>1150.22464735853</v>
      </c>
      <c r="E74" s="29" t="n">
        <f aca="false">IF($A74&lt;=$C$3*12,$C74-$D74,"")</f>
        <v>597.273754714609</v>
      </c>
      <c r="F74" s="29" t="n">
        <f aca="false">IF($A74&lt;=$C$3*12,$F73-$E74,"")</f>
        <v>314892.915235053</v>
      </c>
    </row>
    <row r="75" customFormat="false" ht="13.8" hidden="false" customHeight="false" outlineLevel="0" collapsed="false">
      <c r="A75" s="27" t="n">
        <v>67</v>
      </c>
      <c r="B75" s="28" t="n">
        <f aca="false">IF($A75&lt;=$C$3*12,$A75,"")</f>
        <v>67</v>
      </c>
      <c r="C75" s="29" t="n">
        <f aca="false">IF($A75&lt;=$C$3*12,$E$3,"")</f>
        <v>1747.49840207314</v>
      </c>
      <c r="D75" s="29" t="n">
        <f aca="false">IF($A75&lt;=$C$3*12,F74*C$2/12,"")</f>
        <v>1148.04708679446</v>
      </c>
      <c r="E75" s="29" t="n">
        <f aca="false">IF($A75&lt;=$C$3*12,$C75-$D75,"")</f>
        <v>599.451315278672</v>
      </c>
      <c r="F75" s="29" t="n">
        <f aca="false">IF($A75&lt;=$C$3*12,$F74-$E75,"")</f>
        <v>314293.463919774</v>
      </c>
    </row>
    <row r="76" customFormat="false" ht="13.8" hidden="false" customHeight="false" outlineLevel="0" collapsed="false">
      <c r="A76" s="27" t="n">
        <v>68</v>
      </c>
      <c r="B76" s="28" t="n">
        <f aca="false">IF($A76&lt;=$C$3*12,$A76,"")</f>
        <v>68</v>
      </c>
      <c r="C76" s="29" t="n">
        <f aca="false">IF($A76&lt;=$C$3*12,$E$3,"")</f>
        <v>1747.49840207314</v>
      </c>
      <c r="D76" s="29" t="n">
        <f aca="false">IF($A76&lt;=$C$3*12,F75*C$2/12,"")</f>
        <v>1145.86158720751</v>
      </c>
      <c r="E76" s="29" t="n">
        <f aca="false">IF($A76&lt;=$C$3*12,$C76-$D76,"")</f>
        <v>601.636814865626</v>
      </c>
      <c r="F76" s="29" t="n">
        <f aca="false">IF($A76&lt;=$C$3*12,$F75-$E76,"")</f>
        <v>313691.827104909</v>
      </c>
    </row>
    <row r="77" customFormat="false" ht="13.8" hidden="false" customHeight="false" outlineLevel="0" collapsed="false">
      <c r="A77" s="27" t="n">
        <v>69</v>
      </c>
      <c r="B77" s="28" t="n">
        <f aca="false">IF($A77&lt;=$C$3*12,$A77,"")</f>
        <v>69</v>
      </c>
      <c r="C77" s="29" t="n">
        <f aca="false">IF($A77&lt;=$C$3*12,$E$3,"")</f>
        <v>1747.49840207314</v>
      </c>
      <c r="D77" s="29" t="n">
        <f aca="false">IF($A77&lt;=$C$3*12,F76*C$2/12,"")</f>
        <v>1143.66811965331</v>
      </c>
      <c r="E77" s="29" t="n">
        <f aca="false">IF($A77&lt;=$C$3*12,$C77-$D77,"")</f>
        <v>603.830282419824</v>
      </c>
      <c r="F77" s="29" t="n">
        <f aca="false">IF($A77&lt;=$C$3*12,$F76-$E77,"")</f>
        <v>313087.996822489</v>
      </c>
    </row>
    <row r="78" customFormat="false" ht="13.8" hidden="false" customHeight="false" outlineLevel="0" collapsed="false">
      <c r="A78" s="27" t="n">
        <v>70</v>
      </c>
      <c r="B78" s="28" t="n">
        <f aca="false">IF($A78&lt;=$C$3*12,$A78,"")</f>
        <v>70</v>
      </c>
      <c r="C78" s="29" t="n">
        <f aca="false">IF($A78&lt;=$C$3*12,$E$3,"")</f>
        <v>1747.49840207314</v>
      </c>
      <c r="D78" s="29" t="n">
        <f aca="false">IF($A78&lt;=$C$3*12,F77*C$2/12,"")</f>
        <v>1141.46665508199</v>
      </c>
      <c r="E78" s="29" t="n">
        <f aca="false">IF($A78&lt;=$C$3*12,$C78-$D78,"")</f>
        <v>606.031746991146</v>
      </c>
      <c r="F78" s="29" t="n">
        <f aca="false">IF($A78&lt;=$C$3*12,$F77-$E78,"")</f>
        <v>312481.965075498</v>
      </c>
    </row>
    <row r="79" customFormat="false" ht="13.8" hidden="false" customHeight="false" outlineLevel="0" collapsed="false">
      <c r="A79" s="27" t="n">
        <v>71</v>
      </c>
      <c r="B79" s="28" t="n">
        <f aca="false">IF($A79&lt;=$C$3*12,$A79,"")</f>
        <v>71</v>
      </c>
      <c r="C79" s="29" t="n">
        <f aca="false">IF($A79&lt;=$C$3*12,$E$3,"")</f>
        <v>1747.49840207314</v>
      </c>
      <c r="D79" s="29" t="n">
        <f aca="false">IF($A79&lt;=$C$3*12,F78*C$2/12,"")</f>
        <v>1139.25716433775</v>
      </c>
      <c r="E79" s="29" t="n">
        <f aca="false">IF($A79&lt;=$C$3*12,$C79-$D79,"")</f>
        <v>608.241237735384</v>
      </c>
      <c r="F79" s="29" t="n">
        <f aca="false">IF($A79&lt;=$C$3*12,$F78-$E79,"")</f>
        <v>311873.723837762</v>
      </c>
    </row>
    <row r="80" customFormat="false" ht="13.8" hidden="false" customHeight="false" outlineLevel="0" collapsed="false">
      <c r="A80" s="27" t="n">
        <v>72</v>
      </c>
      <c r="B80" s="28" t="n">
        <f aca="false">IF($A80&lt;=$C$3*12,$A80,"")</f>
        <v>72</v>
      </c>
      <c r="C80" s="29" t="n">
        <f aca="false">IF($A80&lt;=$C$3*12,$E$3,"")</f>
        <v>1747.49840207314</v>
      </c>
      <c r="D80" s="29" t="n">
        <f aca="false">IF($A80&lt;=$C$3*12,F79*C$2/12,"")</f>
        <v>1137.03961815851</v>
      </c>
      <c r="E80" s="29" t="n">
        <f aca="false">IF($A80&lt;=$C$3*12,$C80-$D80,"")</f>
        <v>610.458783914628</v>
      </c>
      <c r="F80" s="29" t="n">
        <f aca="false">IF($A80&lt;=$C$3*12,$F79-$E80,"")</f>
        <v>311263.265053848</v>
      </c>
    </row>
    <row r="81" customFormat="false" ht="13.8" hidden="false" customHeight="false" outlineLevel="0" collapsed="false">
      <c r="A81" s="27" t="n">
        <v>73</v>
      </c>
      <c r="B81" s="28" t="n">
        <f aca="false">IF($A81&lt;=$C$3*12,$A81,"")</f>
        <v>73</v>
      </c>
      <c r="C81" s="29" t="n">
        <f aca="false">IF($A81&lt;=$C$3*12,$E$3,"")</f>
        <v>1747.49840207314</v>
      </c>
      <c r="D81" s="29" t="n">
        <f aca="false">IF($A81&lt;=$C$3*12,F80*C$2/12,"")</f>
        <v>1134.81398717549</v>
      </c>
      <c r="E81" s="29" t="n">
        <f aca="false">IF($A81&lt;=$C$3*12,$C81-$D81,"")</f>
        <v>612.68441489765</v>
      </c>
      <c r="F81" s="29" t="n">
        <f aca="false">IF($A81&lt;=$C$3*12,$F80-$E81,"")</f>
        <v>310650.58063895</v>
      </c>
    </row>
    <row r="82" customFormat="false" ht="13.8" hidden="false" customHeight="false" outlineLevel="0" collapsed="false">
      <c r="A82" s="27" t="n">
        <v>74</v>
      </c>
      <c r="B82" s="28" t="n">
        <f aca="false">IF($A82&lt;=$C$3*12,$A82,"")</f>
        <v>74</v>
      </c>
      <c r="C82" s="29" t="n">
        <f aca="false">IF($A82&lt;=$C$3*12,$E$3,"")</f>
        <v>1747.49840207314</v>
      </c>
      <c r="D82" s="29" t="n">
        <f aca="false">IF($A82&lt;=$C$3*12,F81*C$2/12,"")</f>
        <v>1132.58024191284</v>
      </c>
      <c r="E82" s="29" t="n">
        <f aca="false">IF($A82&lt;=$C$3*12,$C82-$D82,"")</f>
        <v>614.918160160298</v>
      </c>
      <c r="F82" s="29" t="n">
        <f aca="false">IF($A82&lt;=$C$3*12,$F81-$E82,"")</f>
        <v>310035.66247879</v>
      </c>
    </row>
    <row r="83" customFormat="false" ht="13.8" hidden="false" customHeight="false" outlineLevel="0" collapsed="false">
      <c r="A83" s="27" t="n">
        <v>75</v>
      </c>
      <c r="B83" s="28" t="n">
        <f aca="false">IF($A83&lt;=$C$3*12,$A83,"")</f>
        <v>75</v>
      </c>
      <c r="C83" s="29" t="n">
        <f aca="false">IF($A83&lt;=$C$3*12,$E$3,"")</f>
        <v>1747.49840207314</v>
      </c>
      <c r="D83" s="29" t="n">
        <f aca="false">IF($A83&lt;=$C$3*12,F82*C$2/12,"")</f>
        <v>1130.33835278725</v>
      </c>
      <c r="E83" s="29" t="n">
        <f aca="false">IF($A83&lt;=$C$3*12,$C83-$D83,"")</f>
        <v>617.160049285882</v>
      </c>
      <c r="F83" s="29" t="n">
        <f aca="false">IF($A83&lt;=$C$3*12,$F82-$E83,"")</f>
        <v>309418.502429504</v>
      </c>
    </row>
    <row r="84" customFormat="false" ht="13.8" hidden="false" customHeight="false" outlineLevel="0" collapsed="false">
      <c r="A84" s="27" t="n">
        <v>76</v>
      </c>
      <c r="B84" s="28" t="n">
        <f aca="false">IF($A84&lt;=$C$3*12,$A84,"")</f>
        <v>76</v>
      </c>
      <c r="C84" s="29" t="n">
        <f aca="false">IF($A84&lt;=$C$3*12,$E$3,"")</f>
        <v>1747.49840207314</v>
      </c>
      <c r="D84" s="29" t="n">
        <f aca="false">IF($A84&lt;=$C$3*12,F83*C$2/12,"")</f>
        <v>1128.08829010757</v>
      </c>
      <c r="E84" s="29" t="n">
        <f aca="false">IF($A84&lt;=$C$3*12,$C84-$D84,"")</f>
        <v>619.41011196557</v>
      </c>
      <c r="F84" s="29" t="n">
        <f aca="false">IF($A84&lt;=$C$3*12,$F83-$E84,"")</f>
        <v>308799.092317538</v>
      </c>
    </row>
    <row r="85" customFormat="false" ht="13.8" hidden="false" customHeight="false" outlineLevel="0" collapsed="false">
      <c r="A85" s="27" t="n">
        <v>77</v>
      </c>
      <c r="B85" s="28" t="n">
        <f aca="false">IF($A85&lt;=$C$3*12,$A85,"")</f>
        <v>77</v>
      </c>
      <c r="C85" s="29" t="n">
        <f aca="false">IF($A85&lt;=$C$3*12,$E$3,"")</f>
        <v>1747.49840207314</v>
      </c>
      <c r="D85" s="29" t="n">
        <f aca="false">IF($A85&lt;=$C$3*12,F84*C$2/12,"")</f>
        <v>1125.83002407436</v>
      </c>
      <c r="E85" s="29" t="n">
        <f aca="false">IF($A85&lt;=$C$3*12,$C85-$D85,"")</f>
        <v>621.668377998778</v>
      </c>
      <c r="F85" s="29" t="n">
        <f aca="false">IF($A85&lt;=$C$3*12,$F84-$E85,"")</f>
        <v>308177.42393954</v>
      </c>
    </row>
    <row r="86" customFormat="false" ht="13.8" hidden="false" customHeight="false" outlineLevel="0" collapsed="false">
      <c r="A86" s="27" t="n">
        <v>78</v>
      </c>
      <c r="B86" s="28" t="n">
        <f aca="false">IF($A86&lt;=$C$3*12,$A86,"")</f>
        <v>78</v>
      </c>
      <c r="C86" s="29" t="n">
        <f aca="false">IF($A86&lt;=$C$3*12,$E$3,"")</f>
        <v>1747.49840207314</v>
      </c>
      <c r="D86" s="29" t="n">
        <f aca="false">IF($A86&lt;=$C$3*12,F85*C$2/12,"")</f>
        <v>1123.56352477957</v>
      </c>
      <c r="E86" s="29" t="n">
        <f aca="false">IF($A86&lt;=$C$3*12,$C86-$D86,"")</f>
        <v>623.934877293565</v>
      </c>
      <c r="F86" s="29" t="n">
        <f aca="false">IF($A86&lt;=$C$3*12,$F85-$E86,"")</f>
        <v>307553.489062246</v>
      </c>
    </row>
    <row r="87" customFormat="false" ht="13.8" hidden="false" customHeight="false" outlineLevel="0" collapsed="false">
      <c r="A87" s="27" t="n">
        <v>79</v>
      </c>
      <c r="B87" s="28" t="n">
        <f aca="false">IF($A87&lt;=$C$3*12,$A87,"")</f>
        <v>79</v>
      </c>
      <c r="C87" s="29" t="n">
        <f aca="false">IF($A87&lt;=$C$3*12,$E$3,"")</f>
        <v>1747.49840207314</v>
      </c>
      <c r="D87" s="29" t="n">
        <f aca="false">IF($A87&lt;=$C$3*12,F86*C$2/12,"")</f>
        <v>1121.28876220611</v>
      </c>
      <c r="E87" s="29" t="n">
        <f aca="false">IF($A87&lt;=$C$3*12,$C87-$D87,"")</f>
        <v>626.209639867031</v>
      </c>
      <c r="F87" s="29" t="n">
        <f aca="false">IF($A87&lt;=$C$3*12,$F86-$E87,"")</f>
        <v>306927.279422379</v>
      </c>
    </row>
    <row r="88" customFormat="false" ht="13.8" hidden="false" customHeight="false" outlineLevel="0" collapsed="false">
      <c r="A88" s="27" t="n">
        <v>80</v>
      </c>
      <c r="B88" s="28" t="n">
        <f aca="false">IF($A88&lt;=$C$3*12,$A88,"")</f>
        <v>80</v>
      </c>
      <c r="C88" s="29" t="n">
        <f aca="false">IF($A88&lt;=$C$3*12,$E$3,"")</f>
        <v>1747.49840207314</v>
      </c>
      <c r="D88" s="29" t="n">
        <f aca="false">IF($A88&lt;=$C$3*12,F87*C$2/12,"")</f>
        <v>1119.00570622742</v>
      </c>
      <c r="E88" s="29" t="n">
        <f aca="false">IF($A88&lt;=$C$3*12,$C88-$D88,"")</f>
        <v>628.492695845713</v>
      </c>
      <c r="F88" s="29" t="n">
        <f aca="false">IF($A88&lt;=$C$3*12,$F87-$E88,"")</f>
        <v>306298.786726533</v>
      </c>
    </row>
    <row r="89" customFormat="false" ht="13.8" hidden="false" customHeight="false" outlineLevel="0" collapsed="false">
      <c r="A89" s="27" t="n">
        <v>81</v>
      </c>
      <c r="B89" s="28" t="n">
        <f aca="false">IF($A89&lt;=$C$3*12,$A89,"")</f>
        <v>81</v>
      </c>
      <c r="C89" s="29" t="n">
        <f aca="false">IF($A89&lt;=$C$3*12,$E$3,"")</f>
        <v>1747.49840207314</v>
      </c>
      <c r="D89" s="29" t="n">
        <f aca="false">IF($A89&lt;=$C$3*12,F88*C$2/12,"")</f>
        <v>1116.71432660715</v>
      </c>
      <c r="E89" s="29" t="n">
        <f aca="false">IF($A89&lt;=$C$3*12,$C89-$D89,"")</f>
        <v>630.784075465984</v>
      </c>
      <c r="F89" s="29" t="n">
        <f aca="false">IF($A89&lt;=$C$3*12,$F88-$E89,"")</f>
        <v>305668.002651067</v>
      </c>
    </row>
    <row r="90" customFormat="false" ht="13.8" hidden="false" customHeight="false" outlineLevel="0" collapsed="false">
      <c r="A90" s="27" t="n">
        <v>82</v>
      </c>
      <c r="B90" s="28" t="n">
        <f aca="false">IF($A90&lt;=$C$3*12,$A90,"")</f>
        <v>82</v>
      </c>
      <c r="C90" s="29" t="n">
        <f aca="false">IF($A90&lt;=$C$3*12,$E$3,"")</f>
        <v>1747.49840207314</v>
      </c>
      <c r="D90" s="29" t="n">
        <f aca="false">IF($A90&lt;=$C$3*12,F89*C$2/12,"")</f>
        <v>1114.41459299868</v>
      </c>
      <c r="E90" s="29" t="n">
        <f aca="false">IF($A90&lt;=$C$3*12,$C90-$D90,"")</f>
        <v>633.083809074453</v>
      </c>
      <c r="F90" s="29" t="n">
        <f aca="false">IF($A90&lt;=$C$3*12,$F89-$E90,"")</f>
        <v>305034.918841993</v>
      </c>
    </row>
    <row r="91" customFormat="false" ht="13.8" hidden="false" customHeight="false" outlineLevel="0" collapsed="false">
      <c r="A91" s="27" t="n">
        <v>83</v>
      </c>
      <c r="B91" s="28" t="n">
        <f aca="false">IF($A91&lt;=$C$3*12,$A91,"")</f>
        <v>83</v>
      </c>
      <c r="C91" s="29" t="n">
        <f aca="false">IF($A91&lt;=$C$3*12,$E$3,"")</f>
        <v>1747.49840207314</v>
      </c>
      <c r="D91" s="29" t="n">
        <f aca="false">IF($A91&lt;=$C$3*12,F90*C$2/12,"")</f>
        <v>1112.10647494477</v>
      </c>
      <c r="E91" s="29" t="n">
        <f aca="false">IF($A91&lt;=$C$3*12,$C91-$D91,"")</f>
        <v>635.391927128371</v>
      </c>
      <c r="F91" s="29" t="n">
        <f aca="false">IF($A91&lt;=$C$3*12,$F90-$E91,"")</f>
        <v>304399.526914864</v>
      </c>
    </row>
    <row r="92" customFormat="false" ht="13.8" hidden="false" customHeight="false" outlineLevel="0" collapsed="false">
      <c r="A92" s="27" t="n">
        <v>84</v>
      </c>
      <c r="B92" s="28" t="n">
        <f aca="false">IF($A92&lt;=$C$3*12,$A92,"")</f>
        <v>84</v>
      </c>
      <c r="C92" s="29" t="n">
        <f aca="false">IF($A92&lt;=$C$3*12,$E$3,"")</f>
        <v>1747.49840207314</v>
      </c>
      <c r="D92" s="29" t="n">
        <f aca="false">IF($A92&lt;=$C$3*12,F91*C$2/12,"")</f>
        <v>1109.78994187711</v>
      </c>
      <c r="E92" s="29" t="n">
        <f aca="false">IF($A92&lt;=$C$3*12,$C92-$D92,"")</f>
        <v>637.708460196026</v>
      </c>
      <c r="F92" s="29" t="n">
        <f aca="false">IF($A92&lt;=$C$3*12,$F91-$E92,"")</f>
        <v>303761.818454668</v>
      </c>
    </row>
    <row r="93" customFormat="false" ht="13.8" hidden="false" customHeight="false" outlineLevel="0" collapsed="false">
      <c r="A93" s="27" t="n">
        <v>85</v>
      </c>
      <c r="B93" s="28" t="n">
        <f aca="false">IF($A93&lt;=$C$3*12,$A93,"")</f>
        <v>85</v>
      </c>
      <c r="C93" s="29" t="n">
        <f aca="false">IF($A93&lt;=$C$3*12,$E$3,"")</f>
        <v>1747.49840207314</v>
      </c>
      <c r="D93" s="29" t="n">
        <f aca="false">IF($A93&lt;=$C$3*12,F92*C$2/12,"")</f>
        <v>1107.46496311598</v>
      </c>
      <c r="E93" s="29" t="n">
        <f aca="false">IF($A93&lt;=$C$3*12,$C93-$D93,"")</f>
        <v>640.033438957158</v>
      </c>
      <c r="F93" s="29" t="n">
        <f aca="false">IF($A93&lt;=$C$3*12,$F92-$E93,"")</f>
        <v>303121.785015711</v>
      </c>
    </row>
    <row r="94" customFormat="false" ht="13.8" hidden="false" customHeight="false" outlineLevel="0" collapsed="false">
      <c r="A94" s="27" t="n">
        <v>86</v>
      </c>
      <c r="B94" s="28" t="n">
        <f aca="false">IF($A94&lt;=$C$3*12,$A94,"")</f>
        <v>86</v>
      </c>
      <c r="C94" s="29" t="n">
        <f aca="false">IF($A94&lt;=$C$3*12,$E$3,"")</f>
        <v>1747.49840207314</v>
      </c>
      <c r="D94" s="29" t="n">
        <f aca="false">IF($A94&lt;=$C$3*12,F93*C$2/12,"")</f>
        <v>1105.13150786978</v>
      </c>
      <c r="E94" s="29" t="n">
        <f aca="false">IF($A94&lt;=$C$3*12,$C94-$D94,"")</f>
        <v>642.366894203356</v>
      </c>
      <c r="F94" s="29" t="n">
        <f aca="false">IF($A94&lt;=$C$3*12,$F93-$E94,"")</f>
        <v>302479.418121508</v>
      </c>
    </row>
    <row r="95" customFormat="false" ht="13.8" hidden="false" customHeight="false" outlineLevel="0" collapsed="false">
      <c r="A95" s="27" t="n">
        <v>87</v>
      </c>
      <c r="B95" s="28" t="n">
        <f aca="false">IF($A95&lt;=$C$3*12,$A95,"")</f>
        <v>87</v>
      </c>
      <c r="C95" s="29" t="n">
        <f aca="false">IF($A95&lt;=$C$3*12,$E$3,"")</f>
        <v>1747.49840207314</v>
      </c>
      <c r="D95" s="29" t="n">
        <f aca="false">IF($A95&lt;=$C$3*12,F94*C$2/12,"")</f>
        <v>1102.78954523466</v>
      </c>
      <c r="E95" s="29" t="n">
        <f aca="false">IF($A95&lt;=$C$3*12,$C95-$D95,"")</f>
        <v>644.708856838472</v>
      </c>
      <c r="F95" s="29" t="n">
        <f aca="false">IF($A95&lt;=$C$3*12,$F94-$E95,"")</f>
        <v>301834.709264669</v>
      </c>
    </row>
    <row r="96" customFormat="false" ht="13.8" hidden="false" customHeight="false" outlineLevel="0" collapsed="false">
      <c r="A96" s="27" t="n">
        <v>88</v>
      </c>
      <c r="B96" s="28" t="n">
        <f aca="false">IF($A96&lt;=$C$3*12,$A96,"")</f>
        <v>88</v>
      </c>
      <c r="C96" s="29" t="n">
        <f aca="false">IF($A96&lt;=$C$3*12,$E$3,"")</f>
        <v>1747.49840207314</v>
      </c>
      <c r="D96" s="29" t="n">
        <f aca="false">IF($A96&lt;=$C$3*12,F95*C$2/12,"")</f>
        <v>1100.43904419411</v>
      </c>
      <c r="E96" s="29" t="n">
        <f aca="false">IF($A96&lt;=$C$3*12,$C96-$D96,"")</f>
        <v>647.059357879029</v>
      </c>
      <c r="F96" s="29" t="n">
        <f aca="false">IF($A96&lt;=$C$3*12,$F95-$E96,"")</f>
        <v>301187.64990679</v>
      </c>
    </row>
    <row r="97" customFormat="false" ht="13.8" hidden="false" customHeight="false" outlineLevel="0" collapsed="false">
      <c r="A97" s="27" t="n">
        <v>89</v>
      </c>
      <c r="B97" s="28" t="n">
        <f aca="false">IF($A97&lt;=$C$3*12,$A97,"")</f>
        <v>89</v>
      </c>
      <c r="C97" s="29" t="n">
        <f aca="false">IF($A97&lt;=$C$3*12,$E$3,"")</f>
        <v>1747.49840207314</v>
      </c>
      <c r="D97" s="29" t="n">
        <f aca="false">IF($A97&lt;=$C$3*12,F96*C$2/12,"")</f>
        <v>1098.07997361851</v>
      </c>
      <c r="E97" s="29" t="n">
        <f aca="false">IF($A97&lt;=$C$3*12,$C97-$D97,"")</f>
        <v>649.41842845463</v>
      </c>
      <c r="F97" s="29" t="n">
        <f aca="false">IF($A97&lt;=$C$3*12,$F96-$E97,"")</f>
        <v>300538.231478336</v>
      </c>
    </row>
    <row r="98" customFormat="false" ht="13.8" hidden="false" customHeight="false" outlineLevel="0" collapsed="false">
      <c r="A98" s="27" t="n">
        <v>90</v>
      </c>
      <c r="B98" s="28" t="n">
        <f aca="false">IF($A98&lt;=$C$3*12,$A98,"")</f>
        <v>90</v>
      </c>
      <c r="C98" s="29" t="n">
        <f aca="false">IF($A98&lt;=$C$3*12,$E$3,"")</f>
        <v>1747.49840207314</v>
      </c>
      <c r="D98" s="29" t="n">
        <f aca="false">IF($A98&lt;=$C$3*12,F97*C$2/12,"")</f>
        <v>1095.71230226477</v>
      </c>
      <c r="E98" s="29" t="n">
        <f aca="false">IF($A98&lt;=$C$3*12,$C98-$D98,"")</f>
        <v>651.786099808371</v>
      </c>
      <c r="F98" s="29" t="n">
        <f aca="false">IF($A98&lt;=$C$3*12,$F97-$E98,"")</f>
        <v>299886.445378527</v>
      </c>
    </row>
    <row r="99" customFormat="false" ht="13.8" hidden="false" customHeight="false" outlineLevel="0" collapsed="false">
      <c r="A99" s="27" t="n">
        <v>91</v>
      </c>
      <c r="B99" s="28" t="n">
        <f aca="false">IF($A99&lt;=$C$3*12,$A99,"")</f>
        <v>91</v>
      </c>
      <c r="C99" s="29" t="n">
        <f aca="false">IF($A99&lt;=$C$3*12,$E$3,"")</f>
        <v>1747.49840207314</v>
      </c>
      <c r="D99" s="29" t="n">
        <f aca="false">IF($A99&lt;=$C$3*12,F98*C$2/12,"")</f>
        <v>1093.33599877588</v>
      </c>
      <c r="E99" s="29" t="n">
        <f aca="false">IF($A99&lt;=$C$3*12,$C99-$D99,"")</f>
        <v>654.162403297255</v>
      </c>
      <c r="F99" s="29" t="n">
        <f aca="false">IF($A99&lt;=$C$3*12,$F98-$E99,"")</f>
        <v>299232.28297523</v>
      </c>
    </row>
    <row r="100" customFormat="false" ht="13.8" hidden="false" customHeight="false" outlineLevel="0" collapsed="false">
      <c r="A100" s="27" t="n">
        <v>92</v>
      </c>
      <c r="B100" s="28" t="n">
        <f aca="false">IF($A100&lt;=$C$3*12,$A100,"")</f>
        <v>92</v>
      </c>
      <c r="C100" s="29" t="n">
        <f aca="false">IF($A100&lt;=$C$3*12,$E$3,"")</f>
        <v>1747.49840207314</v>
      </c>
      <c r="D100" s="29" t="n">
        <f aca="false">IF($A100&lt;=$C$3*12,F99*C$2/12,"")</f>
        <v>1090.95103168053</v>
      </c>
      <c r="E100" s="29" t="n">
        <f aca="false">IF($A100&lt;=$C$3*12,$C100-$D100,"")</f>
        <v>656.54737039261</v>
      </c>
      <c r="F100" s="29" t="n">
        <f aca="false">IF($A100&lt;=$C$3*12,$F99-$E100,"")</f>
        <v>298575.735604838</v>
      </c>
    </row>
    <row r="101" customFormat="false" ht="13.8" hidden="false" customHeight="false" outlineLevel="0" collapsed="false">
      <c r="A101" s="27" t="n">
        <v>93</v>
      </c>
      <c r="B101" s="28" t="n">
        <f aca="false">IF($A101&lt;=$C$3*12,$A101,"")</f>
        <v>93</v>
      </c>
      <c r="C101" s="29" t="n">
        <f aca="false">IF($A101&lt;=$C$3*12,$E$3,"")</f>
        <v>1747.49840207314</v>
      </c>
      <c r="D101" s="29" t="n">
        <f aca="false">IF($A101&lt;=$C$3*12,F100*C$2/12,"")</f>
        <v>1088.55736939264</v>
      </c>
      <c r="E101" s="29" t="n">
        <f aca="false">IF($A101&lt;=$C$3*12,$C101-$D101,"")</f>
        <v>658.941032680499</v>
      </c>
      <c r="F101" s="29" t="n">
        <f aca="false">IF($A101&lt;=$C$3*12,$F100-$E101,"")</f>
        <v>297916.794572157</v>
      </c>
    </row>
    <row r="102" customFormat="false" ht="13.8" hidden="false" customHeight="false" outlineLevel="0" collapsed="false">
      <c r="A102" s="27" t="n">
        <v>94</v>
      </c>
      <c r="B102" s="28" t="n">
        <f aca="false">IF($A102&lt;=$C$3*12,$A102,"")</f>
        <v>94</v>
      </c>
      <c r="C102" s="29" t="n">
        <f aca="false">IF($A102&lt;=$C$3*12,$E$3,"")</f>
        <v>1747.49840207314</v>
      </c>
      <c r="D102" s="29" t="n">
        <f aca="false">IF($A102&lt;=$C$3*12,F101*C$2/12,"")</f>
        <v>1086.15498021099</v>
      </c>
      <c r="E102" s="29" t="n">
        <f aca="false">IF($A102&lt;=$C$3*12,$C102-$D102,"")</f>
        <v>661.343421862147</v>
      </c>
      <c r="F102" s="29" t="n">
        <f aca="false">IF($A102&lt;=$C$3*12,$F101-$E102,"")</f>
        <v>297255.451150295</v>
      </c>
    </row>
    <row r="103" customFormat="false" ht="13.8" hidden="false" customHeight="false" outlineLevel="0" collapsed="false">
      <c r="A103" s="27" t="n">
        <v>95</v>
      </c>
      <c r="B103" s="28" t="n">
        <f aca="false">IF($A103&lt;=$C$3*12,$A103,"")</f>
        <v>95</v>
      </c>
      <c r="C103" s="29" t="n">
        <f aca="false">IF($A103&lt;=$C$3*12,$E$3,"")</f>
        <v>1747.49840207314</v>
      </c>
      <c r="D103" s="29" t="n">
        <f aca="false">IF($A103&lt;=$C$3*12,F102*C$2/12,"")</f>
        <v>1083.74383231878</v>
      </c>
      <c r="E103" s="29" t="n">
        <f aca="false">IF($A103&lt;=$C$3*12,$C103-$D103,"")</f>
        <v>663.754569754353</v>
      </c>
      <c r="F103" s="29" t="n">
        <f aca="false">IF($A103&lt;=$C$3*12,$F102-$E103,"")</f>
        <v>296591.69658054</v>
      </c>
    </row>
    <row r="104" customFormat="false" ht="13.8" hidden="false" customHeight="false" outlineLevel="0" collapsed="false">
      <c r="A104" s="27" t="n">
        <v>96</v>
      </c>
      <c r="B104" s="28" t="n">
        <f aca="false">IF($A104&lt;=$C$3*12,$A104,"")</f>
        <v>96</v>
      </c>
      <c r="C104" s="29" t="n">
        <f aca="false">IF($A104&lt;=$C$3*12,$E$3,"")</f>
        <v>1747.49840207314</v>
      </c>
      <c r="D104" s="29" t="n">
        <f aca="false">IF($A104&lt;=$C$3*12,F103*C$2/12,"")</f>
        <v>1081.32389378322</v>
      </c>
      <c r="E104" s="29" t="n">
        <f aca="false">IF($A104&lt;=$C$3*12,$C104-$D104,"")</f>
        <v>666.174508289916</v>
      </c>
      <c r="F104" s="29" t="n">
        <f aca="false">IF($A104&lt;=$C$3*12,$F103-$E104,"")</f>
        <v>295925.522072251</v>
      </c>
    </row>
    <row r="105" customFormat="false" ht="13.8" hidden="false" customHeight="false" outlineLevel="0" collapsed="false">
      <c r="A105" s="27" t="n">
        <v>97</v>
      </c>
      <c r="B105" s="28" t="n">
        <f aca="false">IF($A105&lt;=$C$3*12,$A105,"")</f>
        <v>97</v>
      </c>
      <c r="C105" s="29" t="n">
        <f aca="false">IF($A105&lt;=$C$3*12,$E$3,"")</f>
        <v>1747.49840207314</v>
      </c>
      <c r="D105" s="29" t="n">
        <f aca="false">IF($A105&lt;=$C$3*12,F104*C$2/12,"")</f>
        <v>1078.89513255508</v>
      </c>
      <c r="E105" s="29" t="n">
        <f aca="false">IF($A105&lt;=$C$3*12,$C105-$D105,"")</f>
        <v>668.603269518056</v>
      </c>
      <c r="F105" s="29" t="n">
        <f aca="false">IF($A105&lt;=$C$3*12,$F104-$E105,"")</f>
        <v>295256.918802733</v>
      </c>
    </row>
    <row r="106" customFormat="false" ht="13.8" hidden="false" customHeight="false" outlineLevel="0" collapsed="false">
      <c r="A106" s="27" t="n">
        <v>98</v>
      </c>
      <c r="B106" s="28" t="n">
        <f aca="false">IF($A106&lt;=$C$3*12,$A106,"")</f>
        <v>98</v>
      </c>
      <c r="C106" s="29" t="n">
        <f aca="false">IF($A106&lt;=$C$3*12,$E$3,"")</f>
        <v>1747.49840207314</v>
      </c>
      <c r="D106" s="29" t="n">
        <f aca="false">IF($A106&lt;=$C$3*12,F105*C$2/12,"")</f>
        <v>1076.4575164683</v>
      </c>
      <c r="E106" s="29" t="n">
        <f aca="false">IF($A106&lt;=$C$3*12,$C106-$D106,"")</f>
        <v>671.040885604841</v>
      </c>
      <c r="F106" s="29" t="n">
        <f aca="false">IF($A106&lt;=$C$3*12,$F105-$E106,"")</f>
        <v>294585.877917128</v>
      </c>
    </row>
    <row r="107" customFormat="false" ht="13.8" hidden="false" customHeight="false" outlineLevel="0" collapsed="false">
      <c r="A107" s="27" t="n">
        <v>99</v>
      </c>
      <c r="B107" s="28" t="n">
        <f aca="false">IF($A107&lt;=$C$3*12,$A107,"")</f>
        <v>99</v>
      </c>
      <c r="C107" s="29" t="n">
        <f aca="false">IF($A107&lt;=$C$3*12,$E$3,"")</f>
        <v>1747.49840207314</v>
      </c>
      <c r="D107" s="29" t="n">
        <f aca="false">IF($A107&lt;=$C$3*12,F106*C$2/12,"")</f>
        <v>1074.01101323953</v>
      </c>
      <c r="E107" s="29" t="n">
        <f aca="false">IF($A107&lt;=$C$3*12,$C107-$D107,"")</f>
        <v>673.487388833608</v>
      </c>
      <c r="F107" s="29" t="n">
        <f aca="false">IF($A107&lt;=$C$3*12,$F106-$E107,"")</f>
        <v>293912.390528294</v>
      </c>
    </row>
    <row r="108" customFormat="false" ht="13.8" hidden="false" customHeight="false" outlineLevel="0" collapsed="false">
      <c r="A108" s="27" t="n">
        <v>100</v>
      </c>
      <c r="B108" s="28" t="n">
        <f aca="false">IF($A108&lt;=$C$3*12,$A108,"")</f>
        <v>100</v>
      </c>
      <c r="C108" s="29" t="n">
        <f aca="false">IF($A108&lt;=$C$3*12,$E$3,"")</f>
        <v>1747.49840207314</v>
      </c>
      <c r="D108" s="29" t="n">
        <f aca="false">IF($A108&lt;=$C$3*12,F107*C$2/12,"")</f>
        <v>1071.55559046774</v>
      </c>
      <c r="E108" s="29" t="n">
        <f aca="false">IF($A108&lt;=$C$3*12,$C108-$D108,"")</f>
        <v>675.942811605398</v>
      </c>
      <c r="F108" s="29" t="n">
        <f aca="false">IF($A108&lt;=$C$3*12,$F107-$E108,"")</f>
        <v>293236.447716689</v>
      </c>
    </row>
    <row r="109" customFormat="false" ht="13.8" hidden="false" customHeight="false" outlineLevel="0" collapsed="false">
      <c r="A109" s="27" t="n">
        <v>101</v>
      </c>
      <c r="B109" s="28" t="n">
        <f aca="false">IF($A109&lt;=$C$3*12,$A109,"")</f>
        <v>101</v>
      </c>
      <c r="C109" s="29" t="n">
        <f aca="false">IF($A109&lt;=$C$3*12,$E$3,"")</f>
        <v>1747.49840207314</v>
      </c>
      <c r="D109" s="29" t="n">
        <f aca="false">IF($A109&lt;=$C$3*12,F108*C$2/12,"")</f>
        <v>1069.09121563376</v>
      </c>
      <c r="E109" s="29" t="n">
        <f aca="false">IF($A109&lt;=$C$3*12,$C109-$D109,"")</f>
        <v>678.407186439376</v>
      </c>
      <c r="F109" s="29" t="n">
        <f aca="false">IF($A109&lt;=$C$3*12,$F108-$E109,"")</f>
        <v>292558.040530249</v>
      </c>
    </row>
    <row r="110" customFormat="false" ht="13.8" hidden="false" customHeight="false" outlineLevel="0" collapsed="false">
      <c r="A110" s="27" t="n">
        <v>102</v>
      </c>
      <c r="B110" s="28" t="n">
        <f aca="false">IF($A110&lt;=$C$3*12,$A110,"")</f>
        <v>102</v>
      </c>
      <c r="C110" s="29" t="n">
        <f aca="false">IF($A110&lt;=$C$3*12,$E$3,"")</f>
        <v>1747.49840207314</v>
      </c>
      <c r="D110" s="29" t="n">
        <f aca="false">IF($A110&lt;=$C$3*12,F109*C$2/12,"")</f>
        <v>1066.61785609987</v>
      </c>
      <c r="E110" s="29" t="n">
        <f aca="false">IF($A110&lt;=$C$3*12,$C110-$D110,"")</f>
        <v>680.880545973269</v>
      </c>
      <c r="F110" s="29" t="n">
        <f aca="false">IF($A110&lt;=$C$3*12,$F109-$E110,"")</f>
        <v>291877.159984276</v>
      </c>
    </row>
    <row r="111" customFormat="false" ht="13.8" hidden="false" customHeight="false" outlineLevel="0" collapsed="false">
      <c r="A111" s="27" t="n">
        <v>103</v>
      </c>
      <c r="B111" s="28" t="n">
        <f aca="false">IF($A111&lt;=$C$3*12,$A111,"")</f>
        <v>103</v>
      </c>
      <c r="C111" s="29" t="n">
        <f aca="false">IF($A111&lt;=$C$3*12,$E$3,"")</f>
        <v>1747.49840207314</v>
      </c>
      <c r="D111" s="29" t="n">
        <f aca="false">IF($A111&lt;=$C$3*12,F110*C$2/12,"")</f>
        <v>1064.13547910934</v>
      </c>
      <c r="E111" s="29" t="n">
        <f aca="false">IF($A111&lt;=$C$3*12,$C111-$D111,"")</f>
        <v>683.362922963797</v>
      </c>
      <c r="F111" s="29" t="n">
        <f aca="false">IF($A111&lt;=$C$3*12,$F110-$E111,"")</f>
        <v>291193.797061312</v>
      </c>
    </row>
    <row r="112" customFormat="false" ht="13.8" hidden="false" customHeight="false" outlineLevel="0" collapsed="false">
      <c r="A112" s="27" t="n">
        <v>104</v>
      </c>
      <c r="B112" s="28" t="n">
        <f aca="false">IF($A112&lt;=$C$3*12,$A112,"")</f>
        <v>104</v>
      </c>
      <c r="C112" s="29" t="n">
        <f aca="false">IF($A112&lt;=$C$3*12,$E$3,"")</f>
        <v>1747.49840207314</v>
      </c>
      <c r="D112" s="29" t="n">
        <f aca="false">IF($A112&lt;=$C$3*12,F111*C$2/12,"")</f>
        <v>1061.64405178603</v>
      </c>
      <c r="E112" s="29" t="n">
        <f aca="false">IF($A112&lt;=$C$3*12,$C112-$D112,"")</f>
        <v>685.854350287102</v>
      </c>
      <c r="F112" s="29" t="n">
        <f aca="false">IF($A112&lt;=$C$3*12,$F111-$E112,"")</f>
        <v>290507.942711025</v>
      </c>
    </row>
    <row r="113" customFormat="false" ht="13.8" hidden="false" customHeight="false" outlineLevel="0" collapsed="false">
      <c r="A113" s="27" t="n">
        <v>105</v>
      </c>
      <c r="B113" s="28" t="n">
        <f aca="false">IF($A113&lt;=$C$3*12,$A113,"")</f>
        <v>105</v>
      </c>
      <c r="C113" s="29" t="n">
        <f aca="false">IF($A113&lt;=$C$3*12,$E$3,"")</f>
        <v>1747.49840207314</v>
      </c>
      <c r="D113" s="29" t="n">
        <f aca="false">IF($A113&lt;=$C$3*12,F112*C$2/12,"")</f>
        <v>1059.14354113395</v>
      </c>
      <c r="E113" s="29" t="n">
        <f aca="false">IF($A113&lt;=$C$3*12,$C113-$D113,"")</f>
        <v>688.354860939191</v>
      </c>
      <c r="F113" s="29" t="n">
        <f aca="false">IF($A113&lt;=$C$3*12,$F112-$E113,"")</f>
        <v>289819.587850086</v>
      </c>
    </row>
    <row r="114" customFormat="false" ht="13.8" hidden="false" customHeight="false" outlineLevel="0" collapsed="false">
      <c r="A114" s="27" t="n">
        <v>106</v>
      </c>
      <c r="B114" s="28" t="n">
        <f aca="false">IF($A114&lt;=$C$3*12,$A114,"")</f>
        <v>106</v>
      </c>
      <c r="C114" s="29" t="n">
        <f aca="false">IF($A114&lt;=$C$3*12,$E$3,"")</f>
        <v>1747.49840207314</v>
      </c>
      <c r="D114" s="29" t="n">
        <f aca="false">IF($A114&lt;=$C$3*12,F113*C$2/12,"")</f>
        <v>1056.63391403677</v>
      </c>
      <c r="E114" s="29" t="n">
        <f aca="false">IF($A114&lt;=$C$3*12,$C114-$D114,"")</f>
        <v>690.864488036365</v>
      </c>
      <c r="F114" s="29" t="n">
        <f aca="false">IF($A114&lt;=$C$3*12,$F113-$E114,"")</f>
        <v>289128.72336205</v>
      </c>
    </row>
    <row r="115" customFormat="false" ht="13.8" hidden="false" customHeight="false" outlineLevel="0" collapsed="false">
      <c r="A115" s="27" t="n">
        <v>107</v>
      </c>
      <c r="B115" s="28" t="n">
        <f aca="false">IF($A115&lt;=$C$3*12,$A115,"")</f>
        <v>107</v>
      </c>
      <c r="C115" s="29" t="n">
        <f aca="false">IF($A115&lt;=$C$3*12,$E$3,"")</f>
        <v>1747.49840207314</v>
      </c>
      <c r="D115" s="29" t="n">
        <f aca="false">IF($A115&lt;=$C$3*12,F114*C$2/12,"")</f>
        <v>1054.11513725747</v>
      </c>
      <c r="E115" s="29" t="n">
        <f aca="false">IF($A115&lt;=$C$3*12,$C115-$D115,"")</f>
        <v>693.383264815664</v>
      </c>
      <c r="F115" s="29" t="n">
        <f aca="false">IF($A115&lt;=$C$3*12,$F114-$E115,"")</f>
        <v>288435.340097234</v>
      </c>
    </row>
    <row r="116" customFormat="false" ht="13.8" hidden="false" customHeight="false" outlineLevel="0" collapsed="false">
      <c r="A116" s="27" t="n">
        <v>108</v>
      </c>
      <c r="B116" s="28" t="n">
        <f aca="false">IF($A116&lt;=$C$3*12,$A116,"")</f>
        <v>108</v>
      </c>
      <c r="C116" s="29" t="n">
        <f aca="false">IF($A116&lt;=$C$3*12,$E$3,"")</f>
        <v>1747.49840207314</v>
      </c>
      <c r="D116" s="29" t="n">
        <f aca="false">IF($A116&lt;=$C$3*12,F115*C$2/12,"")</f>
        <v>1051.58717743783</v>
      </c>
      <c r="E116" s="29" t="n">
        <f aca="false">IF($A116&lt;=$C$3*12,$C116-$D116,"")</f>
        <v>695.911224635305</v>
      </c>
      <c r="F116" s="29" t="n">
        <f aca="false">IF($A116&lt;=$C$3*12,$F115-$E116,"")</f>
        <v>287739.428872599</v>
      </c>
    </row>
    <row r="117" customFormat="false" ht="13.8" hidden="false" customHeight="false" outlineLevel="0" collapsed="false">
      <c r="A117" s="27" t="n">
        <v>109</v>
      </c>
      <c r="B117" s="28" t="n">
        <f aca="false">IF($A117&lt;=$C$3*12,$A117,"")</f>
        <v>109</v>
      </c>
      <c r="C117" s="29" t="n">
        <f aca="false">IF($A117&lt;=$C$3*12,$E$3,"")</f>
        <v>1747.49840207314</v>
      </c>
      <c r="D117" s="29" t="n">
        <f aca="false">IF($A117&lt;=$C$3*12,F116*C$2/12,"")</f>
        <v>1049.05000109802</v>
      </c>
      <c r="E117" s="29" t="n">
        <f aca="false">IF($A117&lt;=$C$3*12,$C117-$D117,"")</f>
        <v>698.448400975121</v>
      </c>
      <c r="F117" s="29" t="n">
        <f aca="false">IF($A117&lt;=$C$3*12,$F116-$E117,"")</f>
        <v>287040.980471623</v>
      </c>
    </row>
    <row r="118" customFormat="false" ht="13.8" hidden="false" customHeight="false" outlineLevel="0" collapsed="false">
      <c r="A118" s="27" t="n">
        <v>110</v>
      </c>
      <c r="B118" s="28" t="n">
        <f aca="false">IF($A118&lt;=$C$3*12,$A118,"")</f>
        <v>110</v>
      </c>
      <c r="C118" s="29" t="n">
        <f aca="false">IF($A118&lt;=$C$3*12,$E$3,"")</f>
        <v>1747.49840207314</v>
      </c>
      <c r="D118" s="29" t="n">
        <f aca="false">IF($A118&lt;=$C$3*12,F117*C$2/12,"")</f>
        <v>1046.50357463613</v>
      </c>
      <c r="E118" s="29" t="n">
        <f aca="false">IF($A118&lt;=$C$3*12,$C118-$D118,"")</f>
        <v>700.994827437009</v>
      </c>
      <c r="F118" s="29" t="n">
        <f aca="false">IF($A118&lt;=$C$3*12,$F117-$E118,"")</f>
        <v>286339.985644186</v>
      </c>
    </row>
    <row r="119" customFormat="false" ht="13.8" hidden="false" customHeight="false" outlineLevel="0" collapsed="false">
      <c r="A119" s="27" t="n">
        <v>111</v>
      </c>
      <c r="B119" s="28" t="n">
        <f aca="false">IF($A119&lt;=$C$3*12,$A119,"")</f>
        <v>111</v>
      </c>
      <c r="C119" s="29" t="n">
        <f aca="false">IF($A119&lt;=$C$3*12,$E$3,"")</f>
        <v>1747.49840207314</v>
      </c>
      <c r="D119" s="29" t="n">
        <f aca="false">IF($A119&lt;=$C$3*12,F118*C$2/12,"")</f>
        <v>1043.94786432776</v>
      </c>
      <c r="E119" s="29" t="n">
        <f aca="false">IF($A119&lt;=$C$3*12,$C119-$D119,"")</f>
        <v>703.550537745373</v>
      </c>
      <c r="F119" s="29" t="n">
        <f aca="false">IF($A119&lt;=$C$3*12,$F118-$E119,"")</f>
        <v>285636.435106441</v>
      </c>
    </row>
    <row r="120" customFormat="false" ht="13.8" hidden="false" customHeight="false" outlineLevel="0" collapsed="false">
      <c r="A120" s="27" t="n">
        <v>112</v>
      </c>
      <c r="B120" s="28" t="n">
        <f aca="false">IF($A120&lt;=$C$3*12,$A120,"")</f>
        <v>112</v>
      </c>
      <c r="C120" s="29" t="n">
        <f aca="false">IF($A120&lt;=$C$3*12,$E$3,"")</f>
        <v>1747.49840207314</v>
      </c>
      <c r="D120" s="29" t="n">
        <f aca="false">IF($A120&lt;=$C$3*12,F119*C$2/12,"")</f>
        <v>1041.38283632557</v>
      </c>
      <c r="E120" s="29" t="n">
        <f aca="false">IF($A120&lt;=$C$3*12,$C120-$D120,"")</f>
        <v>706.11556574757</v>
      </c>
      <c r="F120" s="29" t="n">
        <f aca="false">IF($A120&lt;=$C$3*12,$F119-$E120,"")</f>
        <v>284930.319540694</v>
      </c>
    </row>
    <row r="121" customFormat="false" ht="13.8" hidden="false" customHeight="false" outlineLevel="0" collapsed="false">
      <c r="A121" s="27" t="n">
        <v>113</v>
      </c>
      <c r="B121" s="28" t="n">
        <f aca="false">IF($A121&lt;=$C$3*12,$A121,"")</f>
        <v>113</v>
      </c>
      <c r="C121" s="29" t="n">
        <f aca="false">IF($A121&lt;=$C$3*12,$E$3,"")</f>
        <v>1747.49840207314</v>
      </c>
      <c r="D121" s="29" t="n">
        <f aca="false">IF($A121&lt;=$C$3*12,F120*C$2/12,"")</f>
        <v>1038.80845665878</v>
      </c>
      <c r="E121" s="29" t="n">
        <f aca="false">IF($A121&lt;=$C$3*12,$C121-$D121,"")</f>
        <v>708.689945414358</v>
      </c>
      <c r="F121" s="29" t="n">
        <f aca="false">IF($A121&lt;=$C$3*12,$F120-$E121,"")</f>
        <v>284221.629595279</v>
      </c>
    </row>
    <row r="122" customFormat="false" ht="13.8" hidden="false" customHeight="false" outlineLevel="0" collapsed="false">
      <c r="A122" s="27" t="n">
        <v>114</v>
      </c>
      <c r="B122" s="28" t="n">
        <f aca="false">IF($A122&lt;=$C$3*12,$A122,"")</f>
        <v>114</v>
      </c>
      <c r="C122" s="29" t="n">
        <f aca="false">IF($A122&lt;=$C$3*12,$E$3,"")</f>
        <v>1747.49840207314</v>
      </c>
      <c r="D122" s="29" t="n">
        <f aca="false">IF($A122&lt;=$C$3*12,F121*C$2/12,"")</f>
        <v>1036.22469123279</v>
      </c>
      <c r="E122" s="29" t="n">
        <f aca="false">IF($A122&lt;=$C$3*12,$C122-$D122,"")</f>
        <v>711.273710840348</v>
      </c>
      <c r="F122" s="29" t="n">
        <f aca="false">IF($A122&lt;=$C$3*12,$F121-$E122,"")</f>
        <v>283510.355884439</v>
      </c>
    </row>
    <row r="123" customFormat="false" ht="13.8" hidden="false" customHeight="false" outlineLevel="0" collapsed="false">
      <c r="A123" s="27" t="n">
        <v>115</v>
      </c>
      <c r="B123" s="28" t="n">
        <f aca="false">IF($A123&lt;=$C$3*12,$A123,"")</f>
        <v>115</v>
      </c>
      <c r="C123" s="29" t="n">
        <f aca="false">IF($A123&lt;=$C$3*12,$E$3,"")</f>
        <v>1747.49840207314</v>
      </c>
      <c r="D123" s="29" t="n">
        <f aca="false">IF($A123&lt;=$C$3*12,F122*C$2/12,"")</f>
        <v>1033.63150582868</v>
      </c>
      <c r="E123" s="29" t="n">
        <f aca="false">IF($A123&lt;=$C$3*12,$C123-$D123,"")</f>
        <v>713.866896244453</v>
      </c>
      <c r="F123" s="29" t="n">
        <f aca="false">IF($A123&lt;=$C$3*12,$F122-$E123,"")</f>
        <v>282796.488988194</v>
      </c>
    </row>
    <row r="124" customFormat="false" ht="13.8" hidden="false" customHeight="false" outlineLevel="0" collapsed="false">
      <c r="A124" s="27" t="n">
        <v>116</v>
      </c>
      <c r="B124" s="28" t="n">
        <f aca="false">IF($A124&lt;=$C$3*12,$A124,"")</f>
        <v>116</v>
      </c>
      <c r="C124" s="29" t="n">
        <f aca="false">IF($A124&lt;=$C$3*12,$E$3,"")</f>
        <v>1747.49840207314</v>
      </c>
      <c r="D124" s="29" t="n">
        <f aca="false">IF($A124&lt;=$C$3*12,F123*C$2/12,"")</f>
        <v>1031.02886610279</v>
      </c>
      <c r="E124" s="29" t="n">
        <f aca="false">IF($A124&lt;=$C$3*12,$C124-$D124,"")</f>
        <v>716.469535970344</v>
      </c>
      <c r="F124" s="29" t="n">
        <f aca="false">IF($A124&lt;=$C$3*12,$F123-$E124,"")</f>
        <v>282080.019452224</v>
      </c>
    </row>
    <row r="125" customFormat="false" ht="13.8" hidden="false" customHeight="false" outlineLevel="0" collapsed="false">
      <c r="A125" s="27" t="n">
        <v>117</v>
      </c>
      <c r="B125" s="28" t="n">
        <f aca="false">IF($A125&lt;=$C$3*12,$A125,"")</f>
        <v>117</v>
      </c>
      <c r="C125" s="29" t="n">
        <f aca="false">IF($A125&lt;=$C$3*12,$E$3,"")</f>
        <v>1747.49840207314</v>
      </c>
      <c r="D125" s="29" t="n">
        <f aca="false">IF($A125&lt;=$C$3*12,F124*C$2/12,"")</f>
        <v>1028.41673758623</v>
      </c>
      <c r="E125" s="29" t="n">
        <f aca="false">IF($A125&lt;=$C$3*12,$C125-$D125,"")</f>
        <v>719.081664486903</v>
      </c>
      <c r="F125" s="29" t="n">
        <f aca="false">IF($A125&lt;=$C$3*12,$F124-$E125,"")</f>
        <v>281360.937787737</v>
      </c>
    </row>
    <row r="126" customFormat="false" ht="13.8" hidden="false" customHeight="false" outlineLevel="0" collapsed="false">
      <c r="A126" s="27" t="n">
        <v>118</v>
      </c>
      <c r="B126" s="28" t="n">
        <f aca="false">IF($A126&lt;=$C$3*12,$A126,"")</f>
        <v>118</v>
      </c>
      <c r="C126" s="29" t="n">
        <f aca="false">IF($A126&lt;=$C$3*12,$E$3,"")</f>
        <v>1747.49840207314</v>
      </c>
      <c r="D126" s="29" t="n">
        <f aca="false">IF($A126&lt;=$C$3*12,F125*C$2/12,"")</f>
        <v>1025.79508568446</v>
      </c>
      <c r="E126" s="29" t="n">
        <f aca="false">IF($A126&lt;=$C$3*12,$C126-$D126,"")</f>
        <v>721.703316388678</v>
      </c>
      <c r="F126" s="29" t="n">
        <f aca="false">IF($A126&lt;=$C$3*12,$F125-$E126,"")</f>
        <v>280639.234471348</v>
      </c>
    </row>
    <row r="127" customFormat="false" ht="13.8" hidden="false" customHeight="false" outlineLevel="0" collapsed="false">
      <c r="A127" s="27" t="n">
        <v>119</v>
      </c>
      <c r="B127" s="28" t="n">
        <f aca="false">IF($A127&lt;=$C$3*12,$A127,"")</f>
        <v>119</v>
      </c>
      <c r="C127" s="29" t="n">
        <f aca="false">IF($A127&lt;=$C$3*12,$E$3,"")</f>
        <v>1747.49840207314</v>
      </c>
      <c r="D127" s="29" t="n">
        <f aca="false">IF($A127&lt;=$C$3*12,F126*C$2/12,"")</f>
        <v>1023.16387567679</v>
      </c>
      <c r="E127" s="29" t="n">
        <f aca="false">IF($A127&lt;=$C$3*12,$C127-$D127,"")</f>
        <v>724.334526396345</v>
      </c>
      <c r="F127" s="29" t="n">
        <f aca="false">IF($A127&lt;=$C$3*12,$F126-$E127,"")</f>
        <v>279914.899944952</v>
      </c>
    </row>
    <row r="128" customFormat="false" ht="13.8" hidden="false" customHeight="false" outlineLevel="0" collapsed="false">
      <c r="A128" s="27" t="n">
        <v>120</v>
      </c>
      <c r="B128" s="28" t="n">
        <f aca="false">IF($A128&lt;=$C$3*12,$A128,"")</f>
        <v>120</v>
      </c>
      <c r="C128" s="29" t="n">
        <f aca="false">IF($A128&lt;=$C$3*12,$E$3,"")</f>
        <v>1747.49840207314</v>
      </c>
      <c r="D128" s="29" t="n">
        <f aca="false">IF($A128&lt;=$C$3*12,F127*C$2/12,"")</f>
        <v>1020.52307271597</v>
      </c>
      <c r="E128" s="29" t="n">
        <f aca="false">IF($A128&lt;=$C$3*12,$C128-$D128,"")</f>
        <v>726.975329357165</v>
      </c>
      <c r="F128" s="29" t="n">
        <f aca="false">IF($A128&lt;=$C$3*12,$F127-$E128,"")</f>
        <v>279187.924615595</v>
      </c>
      <c r="H128" s="30" t="s">
        <v>22</v>
      </c>
      <c r="I128" s="29" t="n">
        <f aca="false">PV($C$2/12,$C$3*12-$A128,-$E$3,0,0)</f>
        <v>279187.924615596</v>
      </c>
    </row>
    <row r="129" customFormat="false" ht="13.8" hidden="false" customHeight="false" outlineLevel="0" collapsed="false">
      <c r="A129" s="27" t="n">
        <v>121</v>
      </c>
      <c r="B129" s="28" t="n">
        <f aca="false">IF($A129&lt;=$C$3*12,$A129,"")</f>
        <v>121</v>
      </c>
      <c r="C129" s="29" t="n">
        <f aca="false">IF($A129&lt;=$C$3*12,$E$3,"")</f>
        <v>1747.49840207314</v>
      </c>
      <c r="D129" s="29" t="n">
        <f aca="false">IF($A129&lt;=$C$3*12,F128*C$2/12,"")</f>
        <v>1017.87264182769</v>
      </c>
      <c r="E129" s="29" t="n">
        <f aca="false">IF($A129&lt;=$C$3*12,$C129-$D129,"")</f>
        <v>729.625760245446</v>
      </c>
      <c r="F129" s="29" t="n">
        <f aca="false">IF($A129&lt;=$C$3*12,$F128-$E129,"")</f>
        <v>278458.29885535</v>
      </c>
    </row>
    <row r="130" customFormat="false" ht="13.8" hidden="false" customHeight="false" outlineLevel="0" collapsed="false">
      <c r="A130" s="27" t="n">
        <v>122</v>
      </c>
      <c r="B130" s="28" t="n">
        <f aca="false">IF($A130&lt;=$C$3*12,$A130,"")</f>
        <v>122</v>
      </c>
      <c r="C130" s="29" t="n">
        <f aca="false">IF($A130&lt;=$C$3*12,$E$3,"")</f>
        <v>1747.49840207314</v>
      </c>
      <c r="D130" s="29" t="n">
        <f aca="false">IF($A130&lt;=$C$3*12,F129*C$2/12,"")</f>
        <v>1015.21254791013</v>
      </c>
      <c r="E130" s="29" t="n">
        <f aca="false">IF($A130&lt;=$C$3*12,$C130-$D130,"")</f>
        <v>732.285854163008</v>
      </c>
      <c r="F130" s="29" t="n">
        <f aca="false">IF($A130&lt;=$C$3*12,$F129-$E130,"")</f>
        <v>277726.013001187</v>
      </c>
    </row>
    <row r="131" customFormat="false" ht="13.8" hidden="false" customHeight="false" outlineLevel="0" collapsed="false">
      <c r="A131" s="27" t="n">
        <v>123</v>
      </c>
      <c r="B131" s="28" t="n">
        <f aca="false">IF($A131&lt;=$C$3*12,$A131,"")</f>
        <v>123</v>
      </c>
      <c r="C131" s="29" t="n">
        <f aca="false">IF($A131&lt;=$C$3*12,$E$3,"")</f>
        <v>1747.49840207314</v>
      </c>
      <c r="D131" s="29" t="n">
        <f aca="false">IF($A131&lt;=$C$3*12,F130*C$2/12,"")</f>
        <v>1012.54275573349</v>
      </c>
      <c r="E131" s="29" t="n">
        <f aca="false">IF($A131&lt;=$C$3*12,$C131-$D131,"")</f>
        <v>734.955646339644</v>
      </c>
      <c r="F131" s="29" t="n">
        <f aca="false">IF($A131&lt;=$C$3*12,$F130-$E131,"")</f>
        <v>276991.057354847</v>
      </c>
    </row>
    <row r="132" customFormat="false" ht="13.8" hidden="false" customHeight="false" outlineLevel="0" collapsed="false">
      <c r="A132" s="27" t="n">
        <v>124</v>
      </c>
      <c r="B132" s="28" t="n">
        <f aca="false">IF($A132&lt;=$C$3*12,$A132,"")</f>
        <v>124</v>
      </c>
      <c r="C132" s="29" t="n">
        <f aca="false">IF($A132&lt;=$C$3*12,$E$3,"")</f>
        <v>1747.49840207314</v>
      </c>
      <c r="D132" s="29" t="n">
        <f aca="false">IF($A132&lt;=$C$3*12,F131*C$2/12,"")</f>
        <v>1009.86322993955</v>
      </c>
      <c r="E132" s="29" t="n">
        <f aca="false">IF($A132&lt;=$C$3*12,$C132-$D132,"")</f>
        <v>737.63517213359</v>
      </c>
      <c r="F132" s="29" t="n">
        <f aca="false">IF($A132&lt;=$C$3*12,$F131-$E132,"")</f>
        <v>276253.422182713</v>
      </c>
    </row>
    <row r="133" customFormat="false" ht="13.8" hidden="false" customHeight="false" outlineLevel="0" collapsed="false">
      <c r="A133" s="27" t="n">
        <v>125</v>
      </c>
      <c r="B133" s="28" t="n">
        <f aca="false">IF($A133&lt;=$C$3*12,$A133,"")</f>
        <v>125</v>
      </c>
      <c r="C133" s="29" t="n">
        <f aca="false">IF($A133&lt;=$C$3*12,$E$3,"")</f>
        <v>1747.49840207314</v>
      </c>
      <c r="D133" s="29" t="n">
        <f aca="false">IF($A133&lt;=$C$3*12,F132*C$2/12,"")</f>
        <v>1007.17393504114</v>
      </c>
      <c r="E133" s="29" t="n">
        <f aca="false">IF($A133&lt;=$C$3*12,$C133-$D133,"")</f>
        <v>740.324467031994</v>
      </c>
      <c r="F133" s="29" t="n">
        <f aca="false">IF($A133&lt;=$C$3*12,$F132-$E133,"")</f>
        <v>275513.097715681</v>
      </c>
    </row>
    <row r="134" customFormat="false" ht="13.8" hidden="false" customHeight="false" outlineLevel="0" collapsed="false">
      <c r="A134" s="27" t="n">
        <v>126</v>
      </c>
      <c r="B134" s="28" t="n">
        <f aca="false">IF($A134&lt;=$C$3*12,$A134,"")</f>
        <v>126</v>
      </c>
      <c r="C134" s="29" t="n">
        <f aca="false">IF($A134&lt;=$C$3*12,$E$3,"")</f>
        <v>1747.49840207314</v>
      </c>
      <c r="D134" s="29" t="n">
        <f aca="false">IF($A134&lt;=$C$3*12,F133*C$2/12,"")</f>
        <v>1004.47483542176</v>
      </c>
      <c r="E134" s="29" t="n">
        <f aca="false">IF($A134&lt;=$C$3*12,$C134-$D134,"")</f>
        <v>743.023566651381</v>
      </c>
      <c r="F134" s="29" t="n">
        <f aca="false">IF($A134&lt;=$C$3*12,$F133-$E134,"")</f>
        <v>274770.07414903</v>
      </c>
    </row>
    <row r="135" customFormat="false" ht="13.8" hidden="false" customHeight="false" outlineLevel="0" collapsed="false">
      <c r="A135" s="27" t="n">
        <v>127</v>
      </c>
      <c r="B135" s="28" t="n">
        <f aca="false">IF($A135&lt;=$C$3*12,$A135,"")</f>
        <v>127</v>
      </c>
      <c r="C135" s="29" t="n">
        <f aca="false">IF($A135&lt;=$C$3*12,$E$3,"")</f>
        <v>1747.49840207314</v>
      </c>
      <c r="D135" s="29" t="n">
        <f aca="false">IF($A135&lt;=$C$3*12,F134*C$2/12,"")</f>
        <v>1001.76589533501</v>
      </c>
      <c r="E135" s="29" t="n">
        <f aca="false">IF($A135&lt;=$C$3*12,$C135-$D135,"")</f>
        <v>745.732506738131</v>
      </c>
      <c r="F135" s="29" t="n">
        <f aca="false">IF($A135&lt;=$C$3*12,$F134-$E135,"")</f>
        <v>274024.341642292</v>
      </c>
    </row>
    <row r="136" customFormat="false" ht="13.8" hidden="false" customHeight="false" outlineLevel="0" collapsed="false">
      <c r="A136" s="27" t="n">
        <v>128</v>
      </c>
      <c r="B136" s="28" t="n">
        <f aca="false">IF($A136&lt;=$C$3*12,$A136,"")</f>
        <v>128</v>
      </c>
      <c r="C136" s="29" t="n">
        <f aca="false">IF($A136&lt;=$C$3*12,$E$3,"")</f>
        <v>1747.49840207314</v>
      </c>
      <c r="D136" s="29" t="n">
        <f aca="false">IF($A136&lt;=$C$3*12,F135*C$2/12,"")</f>
        <v>999.047078904189</v>
      </c>
      <c r="E136" s="29" t="n">
        <f aca="false">IF($A136&lt;=$C$3*12,$C136-$D136,"")</f>
        <v>748.451323168947</v>
      </c>
      <c r="F136" s="29" t="n">
        <f aca="false">IF($A136&lt;=$C$3*12,$F135-$E136,"")</f>
        <v>273275.890319123</v>
      </c>
    </row>
    <row r="137" customFormat="false" ht="13.8" hidden="false" customHeight="false" outlineLevel="0" collapsed="false">
      <c r="A137" s="27" t="n">
        <v>129</v>
      </c>
      <c r="B137" s="28" t="n">
        <f aca="false">IF($A137&lt;=$C$3*12,$A137,"")</f>
        <v>129</v>
      </c>
      <c r="C137" s="29" t="n">
        <f aca="false">IF($A137&lt;=$C$3*12,$E$3,"")</f>
        <v>1747.49840207314</v>
      </c>
      <c r="D137" s="29" t="n">
        <f aca="false">IF($A137&lt;=$C$3*12,F136*C$2/12,"")</f>
        <v>996.318350121802</v>
      </c>
      <c r="E137" s="29" t="n">
        <f aca="false">IF($A137&lt;=$C$3*12,$C137-$D137,"")</f>
        <v>751.180051951334</v>
      </c>
      <c r="F137" s="29" t="n">
        <f aca="false">IF($A137&lt;=$C$3*12,$F136-$E137,"")</f>
        <v>272524.710267172</v>
      </c>
    </row>
    <row r="138" customFormat="false" ht="13.8" hidden="false" customHeight="false" outlineLevel="0" collapsed="false">
      <c r="A138" s="27" t="n">
        <v>130</v>
      </c>
      <c r="B138" s="28" t="n">
        <f aca="false">IF($A138&lt;=$C$3*12,$A138,"")</f>
        <v>130</v>
      </c>
      <c r="C138" s="29" t="n">
        <f aca="false">IF($A138&lt;=$C$3*12,$E$3,"")</f>
        <v>1747.49840207314</v>
      </c>
      <c r="D138" s="29" t="n">
        <f aca="false">IF($A138&lt;=$C$3*12,F137*C$2/12,"")</f>
        <v>993.579672849063</v>
      </c>
      <c r="E138" s="29" t="n">
        <f aca="false">IF($A138&lt;=$C$3*12,$C138-$D138,"")</f>
        <v>753.918729224073</v>
      </c>
      <c r="F138" s="29" t="n">
        <f aca="false">IF($A138&lt;=$C$3*12,$F137-$E138,"")</f>
        <v>271770.791537948</v>
      </c>
    </row>
    <row r="139" customFormat="false" ht="13.8" hidden="false" customHeight="false" outlineLevel="0" collapsed="false">
      <c r="A139" s="27" t="n">
        <v>131</v>
      </c>
      <c r="B139" s="28" t="n">
        <f aca="false">IF($A139&lt;=$C$3*12,$A139,"")</f>
        <v>131</v>
      </c>
      <c r="C139" s="29" t="n">
        <f aca="false">IF($A139&lt;=$C$3*12,$E$3,"")</f>
        <v>1747.49840207314</v>
      </c>
      <c r="D139" s="29" t="n">
        <f aca="false">IF($A139&lt;=$C$3*12,F138*C$2/12,"")</f>
        <v>990.831010815434</v>
      </c>
      <c r="E139" s="29" t="n">
        <f aca="false">IF($A139&lt;=$C$3*12,$C139-$D139,"")</f>
        <v>756.667391257703</v>
      </c>
      <c r="F139" s="29" t="n">
        <f aca="false">IF($A139&lt;=$C$3*12,$F138-$E139,"")</f>
        <v>271014.12414669</v>
      </c>
    </row>
    <row r="140" customFormat="false" ht="13.8" hidden="false" customHeight="false" outlineLevel="0" collapsed="false">
      <c r="A140" s="27" t="n">
        <v>132</v>
      </c>
      <c r="B140" s="28" t="n">
        <f aca="false">IF($A140&lt;=$C$3*12,$A140,"")</f>
        <v>132</v>
      </c>
      <c r="C140" s="29" t="n">
        <f aca="false">IF($A140&lt;=$C$3*12,$E$3,"")</f>
        <v>1747.49840207314</v>
      </c>
      <c r="D140" s="29" t="n">
        <f aca="false">IF($A140&lt;=$C$3*12,F139*C$2/12,"")</f>
        <v>988.07232761814</v>
      </c>
      <c r="E140" s="29" t="n">
        <f aca="false">IF($A140&lt;=$C$3*12,$C140-$D140,"")</f>
        <v>759.426074454996</v>
      </c>
      <c r="F140" s="29" t="n">
        <f aca="false">IF($A140&lt;=$C$3*12,$F139-$E140,"")</f>
        <v>270254.698072235</v>
      </c>
    </row>
    <row r="141" customFormat="false" ht="13.8" hidden="false" customHeight="false" outlineLevel="0" collapsed="false">
      <c r="A141" s="27" t="n">
        <v>133</v>
      </c>
      <c r="B141" s="28" t="n">
        <f aca="false">IF($A141&lt;=$C$3*12,$A141,"")</f>
        <v>133</v>
      </c>
      <c r="C141" s="29" t="n">
        <f aca="false">IF($A141&lt;=$C$3*12,$E$3,"")</f>
        <v>1747.49840207314</v>
      </c>
      <c r="D141" s="29" t="n">
        <f aca="false">IF($A141&lt;=$C$3*12,F140*C$2/12,"")</f>
        <v>985.30358672169</v>
      </c>
      <c r="E141" s="29" t="n">
        <f aca="false">IF($A141&lt;=$C$3*12,$C141-$D141,"")</f>
        <v>762.194815351447</v>
      </c>
      <c r="F141" s="29" t="n">
        <f aca="false">IF($A141&lt;=$C$3*12,$F140-$E141,"")</f>
        <v>269492.503256883</v>
      </c>
    </row>
    <row r="142" customFormat="false" ht="13.8" hidden="false" customHeight="false" outlineLevel="0" collapsed="false">
      <c r="A142" s="27" t="n">
        <v>134</v>
      </c>
      <c r="B142" s="28" t="n">
        <f aca="false">IF($A142&lt;=$C$3*12,$A142,"")</f>
        <v>134</v>
      </c>
      <c r="C142" s="29" t="n">
        <f aca="false">IF($A142&lt;=$C$3*12,$E$3,"")</f>
        <v>1747.49840207314</v>
      </c>
      <c r="D142" s="29" t="n">
        <f aca="false">IF($A142&lt;=$C$3*12,F141*C$2/12,"")</f>
        <v>982.524751457387</v>
      </c>
      <c r="E142" s="29" t="n">
        <f aca="false">IF($A142&lt;=$C$3*12,$C142-$D142,"")</f>
        <v>764.973650615749</v>
      </c>
      <c r="F142" s="29" t="n">
        <f aca="false">IF($A142&lt;=$C$3*12,$F141-$E142,"")</f>
        <v>268727.529606268</v>
      </c>
    </row>
    <row r="143" customFormat="false" ht="13.8" hidden="false" customHeight="false" outlineLevel="0" collapsed="false">
      <c r="A143" s="27" t="n">
        <v>135</v>
      </c>
      <c r="B143" s="28" t="n">
        <f aca="false">IF($A143&lt;=$C$3*12,$A143,"")</f>
        <v>135</v>
      </c>
      <c r="C143" s="29" t="n">
        <f aca="false">IF($A143&lt;=$C$3*12,$E$3,"")</f>
        <v>1747.49840207314</v>
      </c>
      <c r="D143" s="29" t="n">
        <f aca="false">IF($A143&lt;=$C$3*12,F142*C$2/12,"")</f>
        <v>979.735785022851</v>
      </c>
      <c r="E143" s="29" t="n">
        <f aca="false">IF($A143&lt;=$C$3*12,$C143-$D143,"")</f>
        <v>767.762617050285</v>
      </c>
      <c r="F143" s="29" t="n">
        <f aca="false">IF($A143&lt;=$C$3*12,$F142-$E143,"")</f>
        <v>267959.766989217</v>
      </c>
    </row>
    <row r="144" customFormat="false" ht="13.8" hidden="false" customHeight="false" outlineLevel="0" collapsed="false">
      <c r="A144" s="27" t="n">
        <v>136</v>
      </c>
      <c r="B144" s="28" t="n">
        <f aca="false">IF($A144&lt;=$C$3*12,$A144,"")</f>
        <v>136</v>
      </c>
      <c r="C144" s="29" t="n">
        <f aca="false">IF($A144&lt;=$C$3*12,$E$3,"")</f>
        <v>1747.49840207314</v>
      </c>
      <c r="D144" s="29" t="n">
        <f aca="false">IF($A144&lt;=$C$3*12,F143*C$2/12,"")</f>
        <v>976.936650481522</v>
      </c>
      <c r="E144" s="29" t="n">
        <f aca="false">IF($A144&lt;=$C$3*12,$C144-$D144,"")</f>
        <v>770.561751591615</v>
      </c>
      <c r="F144" s="29" t="n">
        <f aca="false">IF($A144&lt;=$C$3*12,$F143-$E144,"")</f>
        <v>267189.205237626</v>
      </c>
    </row>
    <row r="145" customFormat="false" ht="13.8" hidden="false" customHeight="false" outlineLevel="0" collapsed="false">
      <c r="A145" s="27" t="n">
        <v>137</v>
      </c>
      <c r="B145" s="28" t="n">
        <f aca="false">IF($A145&lt;=$C$3*12,$A145,"")</f>
        <v>137</v>
      </c>
      <c r="C145" s="29" t="n">
        <f aca="false">IF($A145&lt;=$C$3*12,$E$3,"")</f>
        <v>1747.49840207314</v>
      </c>
      <c r="D145" s="29" t="n">
        <f aca="false">IF($A145&lt;=$C$3*12,F144*C$2/12,"")</f>
        <v>974.127310762177</v>
      </c>
      <c r="E145" s="29" t="n">
        <f aca="false">IF($A145&lt;=$C$3*12,$C145-$D145,"")</f>
        <v>773.371091310959</v>
      </c>
      <c r="F145" s="29" t="n">
        <f aca="false">IF($A145&lt;=$C$3*12,$F144-$E145,"")</f>
        <v>266415.834146315</v>
      </c>
    </row>
    <row r="146" customFormat="false" ht="13.8" hidden="false" customHeight="false" outlineLevel="0" collapsed="false">
      <c r="A146" s="27" t="n">
        <v>138</v>
      </c>
      <c r="B146" s="28" t="n">
        <f aca="false">IF($A146&lt;=$C$3*12,$A146,"")</f>
        <v>138</v>
      </c>
      <c r="C146" s="29" t="n">
        <f aca="false">IF($A146&lt;=$C$3*12,$E$3,"")</f>
        <v>1747.49840207314</v>
      </c>
      <c r="D146" s="29" t="n">
        <f aca="false">IF($A146&lt;=$C$3*12,F145*C$2/12,"")</f>
        <v>971.307728658439</v>
      </c>
      <c r="E146" s="29" t="n">
        <f aca="false">IF($A146&lt;=$C$3*12,$C146-$D146,"")</f>
        <v>776.190673414697</v>
      </c>
      <c r="F146" s="29" t="n">
        <f aca="false">IF($A146&lt;=$C$3*12,$F145-$E146,"")</f>
        <v>265639.6434729</v>
      </c>
    </row>
    <row r="147" customFormat="false" ht="13.8" hidden="false" customHeight="false" outlineLevel="0" collapsed="false">
      <c r="A147" s="27" t="n">
        <v>139</v>
      </c>
      <c r="B147" s="28" t="n">
        <f aca="false">IF($A147&lt;=$C$3*12,$A147,"")</f>
        <v>139</v>
      </c>
      <c r="C147" s="29" t="n">
        <f aca="false">IF($A147&lt;=$C$3*12,$E$3,"")</f>
        <v>1747.49840207314</v>
      </c>
      <c r="D147" s="29" t="n">
        <f aca="false">IF($A147&lt;=$C$3*12,F146*C$2/12,"")</f>
        <v>968.477866828282</v>
      </c>
      <c r="E147" s="29" t="n">
        <f aca="false">IF($A147&lt;=$C$3*12,$C147-$D147,"")</f>
        <v>779.020535244855</v>
      </c>
      <c r="F147" s="29" t="n">
        <f aca="false">IF($A147&lt;=$C$3*12,$F146-$E147,"")</f>
        <v>264860.622937655</v>
      </c>
    </row>
    <row r="148" customFormat="false" ht="13.8" hidden="false" customHeight="false" outlineLevel="0" collapsed="false">
      <c r="A148" s="27" t="n">
        <v>140</v>
      </c>
      <c r="B148" s="28" t="n">
        <f aca="false">IF($A148&lt;=$C$3*12,$A148,"")</f>
        <v>140</v>
      </c>
      <c r="C148" s="29" t="n">
        <f aca="false">IF($A148&lt;=$C$3*12,$E$3,"")</f>
        <v>1747.49840207314</v>
      </c>
      <c r="D148" s="29" t="n">
        <f aca="false">IF($A148&lt;=$C$3*12,F147*C$2/12,"")</f>
        <v>965.637687793535</v>
      </c>
      <c r="E148" s="29" t="n">
        <f aca="false">IF($A148&lt;=$C$3*12,$C148-$D148,"")</f>
        <v>781.860714279601</v>
      </c>
      <c r="F148" s="29" t="n">
        <f aca="false">IF($A148&lt;=$C$3*12,$F147-$E148,"")</f>
        <v>264078.762223376</v>
      </c>
    </row>
    <row r="149" customFormat="false" ht="13.8" hidden="false" customHeight="false" outlineLevel="0" collapsed="false">
      <c r="A149" s="27" t="n">
        <v>141</v>
      </c>
      <c r="B149" s="28" t="n">
        <f aca="false">IF($A149&lt;=$C$3*12,$A149,"")</f>
        <v>141</v>
      </c>
      <c r="C149" s="29" t="n">
        <f aca="false">IF($A149&lt;=$C$3*12,$E$3,"")</f>
        <v>1747.49840207314</v>
      </c>
      <c r="D149" s="29" t="n">
        <f aca="false">IF($A149&lt;=$C$3*12,F148*C$2/12,"")</f>
        <v>962.787153939391</v>
      </c>
      <c r="E149" s="29" t="n">
        <f aca="false">IF($A149&lt;=$C$3*12,$C149-$D149,"")</f>
        <v>784.711248133746</v>
      </c>
      <c r="F149" s="29" t="n">
        <f aca="false">IF($A149&lt;=$C$3*12,$F148-$E149,"")</f>
        <v>263294.050975242</v>
      </c>
    </row>
    <row r="150" customFormat="false" ht="13.8" hidden="false" customHeight="false" outlineLevel="0" collapsed="false">
      <c r="A150" s="27" t="n">
        <v>142</v>
      </c>
      <c r="B150" s="28" t="n">
        <f aca="false">IF($A150&lt;=$C$3*12,$A150,"")</f>
        <v>142</v>
      </c>
      <c r="C150" s="29" t="n">
        <f aca="false">IF($A150&lt;=$C$3*12,$E$3,"")</f>
        <v>1747.49840207314</v>
      </c>
      <c r="D150" s="29" t="n">
        <f aca="false">IF($A150&lt;=$C$3*12,F149*C$2/12,"")</f>
        <v>959.926227513903</v>
      </c>
      <c r="E150" s="29" t="n">
        <f aca="false">IF($A150&lt;=$C$3*12,$C150-$D150,"")</f>
        <v>787.572174559233</v>
      </c>
      <c r="F150" s="29" t="n">
        <f aca="false">IF($A150&lt;=$C$3*12,$F149-$E150,"")</f>
        <v>262506.478800683</v>
      </c>
    </row>
    <row r="151" customFormat="false" ht="13.8" hidden="false" customHeight="false" outlineLevel="0" collapsed="false">
      <c r="A151" s="27" t="n">
        <v>143</v>
      </c>
      <c r="B151" s="28" t="n">
        <f aca="false">IF($A151&lt;=$C$3*12,$A151,"")</f>
        <v>143</v>
      </c>
      <c r="C151" s="29" t="n">
        <f aca="false">IF($A151&lt;=$C$3*12,$E$3,"")</f>
        <v>1747.49840207314</v>
      </c>
      <c r="D151" s="29" t="n">
        <f aca="false">IF($A151&lt;=$C$3*12,F150*C$2/12,"")</f>
        <v>957.054870627489</v>
      </c>
      <c r="E151" s="29" t="n">
        <f aca="false">IF($A151&lt;=$C$3*12,$C151-$D151,"")</f>
        <v>790.443531445647</v>
      </c>
      <c r="F151" s="29" t="n">
        <f aca="false">IF($A151&lt;=$C$3*12,$F150-$E151,"")</f>
        <v>261716.035269237</v>
      </c>
    </row>
    <row r="152" customFormat="false" ht="13.8" hidden="false" customHeight="false" outlineLevel="0" collapsed="false">
      <c r="A152" s="27" t="n">
        <v>144</v>
      </c>
      <c r="B152" s="28" t="n">
        <f aca="false">IF($A152&lt;=$C$3*12,$A152,"")</f>
        <v>144</v>
      </c>
      <c r="C152" s="29" t="n">
        <f aca="false">IF($A152&lt;=$C$3*12,$E$3,"")</f>
        <v>1747.49840207314</v>
      </c>
      <c r="D152" s="29" t="n">
        <f aca="false">IF($A152&lt;=$C$3*12,F151*C$2/12,"")</f>
        <v>954.173045252427</v>
      </c>
      <c r="E152" s="29" t="n">
        <f aca="false">IF($A152&lt;=$C$3*12,$C152-$D152,"")</f>
        <v>793.325356820709</v>
      </c>
      <c r="F152" s="29" t="n">
        <f aca="false">IF($A152&lt;=$C$3*12,$F151-$E152,"")</f>
        <v>260922.709912416</v>
      </c>
    </row>
    <row r="153" customFormat="false" ht="13.8" hidden="false" customHeight="false" outlineLevel="0" collapsed="false">
      <c r="A153" s="27" t="n">
        <v>145</v>
      </c>
      <c r="B153" s="28" t="n">
        <f aca="false">IF($A153&lt;=$C$3*12,$A153,"")</f>
        <v>145</v>
      </c>
      <c r="C153" s="29" t="n">
        <f aca="false">IF($A153&lt;=$C$3*12,$E$3,"")</f>
        <v>1747.49840207314</v>
      </c>
      <c r="D153" s="29" t="n">
        <f aca="false">IF($A153&lt;=$C$3*12,F152*C$2/12,"")</f>
        <v>951.280713222351</v>
      </c>
      <c r="E153" s="29" t="n">
        <f aca="false">IF($A153&lt;=$C$3*12,$C153-$D153,"")</f>
        <v>796.217688850785</v>
      </c>
      <c r="F153" s="29" t="n">
        <f aca="false">IF($A153&lt;=$C$3*12,$F152-$E153,"")</f>
        <v>260126.492223566</v>
      </c>
    </row>
    <row r="154" customFormat="false" ht="13.8" hidden="false" customHeight="false" outlineLevel="0" collapsed="false">
      <c r="A154" s="27" t="n">
        <v>146</v>
      </c>
      <c r="B154" s="28" t="n">
        <f aca="false">IF($A154&lt;=$C$3*12,$A154,"")</f>
        <v>146</v>
      </c>
      <c r="C154" s="29" t="n">
        <f aca="false">IF($A154&lt;=$C$3*12,$E$3,"")</f>
        <v>1747.49840207314</v>
      </c>
      <c r="D154" s="29" t="n">
        <f aca="false">IF($A154&lt;=$C$3*12,F153*C$2/12,"")</f>
        <v>948.377836231749</v>
      </c>
      <c r="E154" s="29" t="n">
        <f aca="false">IF($A154&lt;=$C$3*12,$C154-$D154,"")</f>
        <v>799.120565841387</v>
      </c>
      <c r="F154" s="29" t="n">
        <f aca="false">IF($A154&lt;=$C$3*12,$F153-$E154,"")</f>
        <v>259327.371657724</v>
      </c>
    </row>
    <row r="155" customFormat="false" ht="13.8" hidden="false" customHeight="false" outlineLevel="0" collapsed="false">
      <c r="A155" s="27" t="n">
        <v>147</v>
      </c>
      <c r="B155" s="28" t="n">
        <f aca="false">IF($A155&lt;=$C$3*12,$A155,"")</f>
        <v>147</v>
      </c>
      <c r="C155" s="29" t="n">
        <f aca="false">IF($A155&lt;=$C$3*12,$E$3,"")</f>
        <v>1747.49840207314</v>
      </c>
      <c r="D155" s="29" t="n">
        <f aca="false">IF($A155&lt;=$C$3*12,F154*C$2/12,"")</f>
        <v>945.464375835453</v>
      </c>
      <c r="E155" s="29" t="n">
        <f aca="false">IF($A155&lt;=$C$3*12,$C155-$D155,"")</f>
        <v>802.034026237683</v>
      </c>
      <c r="F155" s="29" t="n">
        <f aca="false">IF($A155&lt;=$C$3*12,$F154-$E155,"")</f>
        <v>258525.337631487</v>
      </c>
    </row>
    <row r="156" customFormat="false" ht="13.8" hidden="false" customHeight="false" outlineLevel="0" collapsed="false">
      <c r="A156" s="27" t="n">
        <v>148</v>
      </c>
      <c r="B156" s="28" t="n">
        <f aca="false">IF($A156&lt;=$C$3*12,$A156,"")</f>
        <v>148</v>
      </c>
      <c r="C156" s="29" t="n">
        <f aca="false">IF($A156&lt;=$C$3*12,$E$3,"")</f>
        <v>1747.49840207314</v>
      </c>
      <c r="D156" s="29" t="n">
        <f aca="false">IF($A156&lt;=$C$3*12,F155*C$2/12,"")</f>
        <v>942.540293448128</v>
      </c>
      <c r="E156" s="29" t="n">
        <f aca="false">IF($A156&lt;=$C$3*12,$C156-$D156,"")</f>
        <v>804.958108625008</v>
      </c>
      <c r="F156" s="29" t="n">
        <f aca="false">IF($A156&lt;=$C$3*12,$F155-$E156,"")</f>
        <v>257720.379522862</v>
      </c>
    </row>
    <row r="157" customFormat="false" ht="13.8" hidden="false" customHeight="false" outlineLevel="0" collapsed="false">
      <c r="A157" s="27" t="n">
        <v>149</v>
      </c>
      <c r="B157" s="28" t="n">
        <f aca="false">IF($A157&lt;=$C$3*12,$A157,"")</f>
        <v>149</v>
      </c>
      <c r="C157" s="29" t="n">
        <f aca="false">IF($A157&lt;=$C$3*12,$E$3,"")</f>
        <v>1747.49840207314</v>
      </c>
      <c r="D157" s="29" t="n">
        <f aca="false">IF($A157&lt;=$C$3*12,F156*C$2/12,"")</f>
        <v>939.605550343766</v>
      </c>
      <c r="E157" s="29" t="n">
        <f aca="false">IF($A157&lt;=$C$3*12,$C157-$D157,"")</f>
        <v>807.89285172937</v>
      </c>
      <c r="F157" s="29" t="n">
        <f aca="false">IF($A157&lt;=$C$3*12,$F156-$E157,"")</f>
        <v>256912.486671132</v>
      </c>
    </row>
    <row r="158" customFormat="false" ht="13.8" hidden="false" customHeight="false" outlineLevel="0" collapsed="false">
      <c r="A158" s="27" t="n">
        <v>150</v>
      </c>
      <c r="B158" s="28" t="n">
        <f aca="false">IF($A158&lt;=$C$3*12,$A158,"")</f>
        <v>150</v>
      </c>
      <c r="C158" s="29" t="n">
        <f aca="false">IF($A158&lt;=$C$3*12,$E$3,"")</f>
        <v>1747.49840207314</v>
      </c>
      <c r="D158" s="29" t="n">
        <f aca="false">IF($A158&lt;=$C$3*12,F157*C$2/12,"")</f>
        <v>936.660107655169</v>
      </c>
      <c r="E158" s="29" t="n">
        <f aca="false">IF($A158&lt;=$C$3*12,$C158-$D158,"")</f>
        <v>810.838294417967</v>
      </c>
      <c r="F158" s="29" t="n">
        <f aca="false">IF($A158&lt;=$C$3*12,$F157-$E158,"")</f>
        <v>256101.648376714</v>
      </c>
    </row>
    <row r="159" customFormat="false" ht="13.8" hidden="false" customHeight="false" outlineLevel="0" collapsed="false">
      <c r="A159" s="27" t="n">
        <v>151</v>
      </c>
      <c r="B159" s="28" t="n">
        <f aca="false">IF($A159&lt;=$C$3*12,$A159,"")</f>
        <v>151</v>
      </c>
      <c r="C159" s="29" t="n">
        <f aca="false">IF($A159&lt;=$C$3*12,$E$3,"")</f>
        <v>1747.49840207314</v>
      </c>
      <c r="D159" s="29" t="n">
        <f aca="false">IF($A159&lt;=$C$3*12,F158*C$2/12,"")</f>
        <v>933.703926373437</v>
      </c>
      <c r="E159" s="29" t="n">
        <f aca="false">IF($A159&lt;=$C$3*12,$C159-$D159,"")</f>
        <v>813.794475699699</v>
      </c>
      <c r="F159" s="29" t="n">
        <f aca="false">IF($A159&lt;=$C$3*12,$F158-$E159,"")</f>
        <v>255287.853901015</v>
      </c>
    </row>
    <row r="160" customFormat="false" ht="13.8" hidden="false" customHeight="false" outlineLevel="0" collapsed="false">
      <c r="A160" s="27" t="n">
        <v>152</v>
      </c>
      <c r="B160" s="28" t="n">
        <f aca="false">IF($A160&lt;=$C$3*12,$A160,"")</f>
        <v>152</v>
      </c>
      <c r="C160" s="29" t="n">
        <f aca="false">IF($A160&lt;=$C$3*12,$E$3,"")</f>
        <v>1747.49840207314</v>
      </c>
      <c r="D160" s="29" t="n">
        <f aca="false">IF($A160&lt;=$C$3*12,F159*C$2/12,"")</f>
        <v>930.736967347449</v>
      </c>
      <c r="E160" s="29" t="n">
        <f aca="false">IF($A160&lt;=$C$3*12,$C160-$D160,"")</f>
        <v>816.761434725688</v>
      </c>
      <c r="F160" s="29" t="n">
        <f aca="false">IF($A160&lt;=$C$3*12,$F159-$E160,"")</f>
        <v>254471.092466289</v>
      </c>
    </row>
    <row r="161" customFormat="false" ht="13.8" hidden="false" customHeight="false" outlineLevel="0" collapsed="false">
      <c r="A161" s="27" t="n">
        <v>153</v>
      </c>
      <c r="B161" s="28" t="n">
        <f aca="false">IF($A161&lt;=$C$3*12,$A161,"")</f>
        <v>153</v>
      </c>
      <c r="C161" s="29" t="n">
        <f aca="false">IF($A161&lt;=$C$3*12,$E$3,"")</f>
        <v>1747.49840207314</v>
      </c>
      <c r="D161" s="29" t="n">
        <f aca="false">IF($A161&lt;=$C$3*12,F160*C$2/12,"")</f>
        <v>927.759191283345</v>
      </c>
      <c r="E161" s="29" t="n">
        <f aca="false">IF($A161&lt;=$C$3*12,$C161-$D161,"")</f>
        <v>819.739210789792</v>
      </c>
      <c r="F161" s="29" t="n">
        <f aca="false">IF($A161&lt;=$C$3*12,$F160-$E161,"")</f>
        <v>253651.353255499</v>
      </c>
    </row>
    <row r="162" customFormat="false" ht="13.8" hidden="false" customHeight="false" outlineLevel="0" collapsed="false">
      <c r="A162" s="27" t="n">
        <v>154</v>
      </c>
      <c r="B162" s="28" t="n">
        <f aca="false">IF($A162&lt;=$C$3*12,$A162,"")</f>
        <v>154</v>
      </c>
      <c r="C162" s="29" t="n">
        <f aca="false">IF($A162&lt;=$C$3*12,$E$3,"")</f>
        <v>1747.49840207314</v>
      </c>
      <c r="D162" s="29" t="n">
        <f aca="false">IF($A162&lt;=$C$3*12,F161*C$2/12,"")</f>
        <v>924.770558744007</v>
      </c>
      <c r="E162" s="29" t="n">
        <f aca="false">IF($A162&lt;=$C$3*12,$C162-$D162,"")</f>
        <v>822.727843329129</v>
      </c>
      <c r="F162" s="29" t="n">
        <f aca="false">IF($A162&lt;=$C$3*12,$F161-$E162,"")</f>
        <v>252828.62541217</v>
      </c>
    </row>
    <row r="163" customFormat="false" ht="13.8" hidden="false" customHeight="false" outlineLevel="0" collapsed="false">
      <c r="A163" s="27" t="n">
        <v>155</v>
      </c>
      <c r="B163" s="28" t="n">
        <f aca="false">IF($A163&lt;=$C$3*12,$A163,"")</f>
        <v>155</v>
      </c>
      <c r="C163" s="29" t="n">
        <f aca="false">IF($A163&lt;=$C$3*12,$E$3,"")</f>
        <v>1747.49840207314</v>
      </c>
      <c r="D163" s="29" t="n">
        <f aca="false">IF($A163&lt;=$C$3*12,F162*C$2/12,"")</f>
        <v>921.771030148536</v>
      </c>
      <c r="E163" s="29" t="n">
        <f aca="false">IF($A163&lt;=$C$3*12,$C163-$D163,"")</f>
        <v>825.7273719246</v>
      </c>
      <c r="F163" s="29" t="n">
        <f aca="false">IF($A163&lt;=$C$3*12,$F162-$E163,"")</f>
        <v>252002.898040245</v>
      </c>
    </row>
    <row r="164" customFormat="false" ht="13.8" hidden="false" customHeight="false" outlineLevel="0" collapsed="false">
      <c r="A164" s="27" t="n">
        <v>156</v>
      </c>
      <c r="B164" s="28" t="n">
        <f aca="false">IF($A164&lt;=$C$3*12,$A164,"")</f>
        <v>156</v>
      </c>
      <c r="C164" s="29" t="n">
        <f aca="false">IF($A164&lt;=$C$3*12,$E$3,"")</f>
        <v>1747.49840207314</v>
      </c>
      <c r="D164" s="29" t="n">
        <f aca="false">IF($A164&lt;=$C$3*12,F163*C$2/12,"")</f>
        <v>918.760565771728</v>
      </c>
      <c r="E164" s="29" t="n">
        <f aca="false">IF($A164&lt;=$C$3*12,$C164-$D164,"")</f>
        <v>828.737836301409</v>
      </c>
      <c r="F164" s="29" t="n">
        <f aca="false">IF($A164&lt;=$C$3*12,$F163-$E164,"")</f>
        <v>251174.160203944</v>
      </c>
    </row>
    <row r="165" customFormat="false" ht="13.8" hidden="false" customHeight="false" outlineLevel="0" collapsed="false">
      <c r="A165" s="27" t="n">
        <v>157</v>
      </c>
      <c r="B165" s="28" t="n">
        <f aca="false">IF($A165&lt;=$C$3*12,$A165,"")</f>
        <v>157</v>
      </c>
      <c r="C165" s="29" t="n">
        <f aca="false">IF($A165&lt;=$C$3*12,$E$3,"")</f>
        <v>1747.49840207314</v>
      </c>
      <c r="D165" s="29" t="n">
        <f aca="false">IF($A165&lt;=$C$3*12,F164*C$2/12,"")</f>
        <v>915.739125743546</v>
      </c>
      <c r="E165" s="29" t="n">
        <f aca="false">IF($A165&lt;=$C$3*12,$C165-$D165,"")</f>
        <v>831.759276329591</v>
      </c>
      <c r="F165" s="29" t="n">
        <f aca="false">IF($A165&lt;=$C$3*12,$F164-$E165,"")</f>
        <v>250342.400927614</v>
      </c>
    </row>
    <row r="166" customFormat="false" ht="13.8" hidden="false" customHeight="false" outlineLevel="0" collapsed="false">
      <c r="A166" s="27" t="n">
        <v>158</v>
      </c>
      <c r="B166" s="28" t="n">
        <f aca="false">IF($A166&lt;=$C$3*12,$A166,"")</f>
        <v>158</v>
      </c>
      <c r="C166" s="29" t="n">
        <f aca="false">IF($A166&lt;=$C$3*12,$E$3,"")</f>
        <v>1747.49840207314</v>
      </c>
      <c r="D166" s="29" t="n">
        <f aca="false">IF($A166&lt;=$C$3*12,F165*C$2/12,"")</f>
        <v>912.706670048594</v>
      </c>
      <c r="E166" s="29" t="n">
        <f aca="false">IF($A166&lt;=$C$3*12,$C166-$D166,"")</f>
        <v>834.791732024543</v>
      </c>
      <c r="F166" s="29" t="n">
        <f aca="false">IF($A166&lt;=$C$3*12,$F165-$E166,"")</f>
        <v>249507.60919559</v>
      </c>
    </row>
    <row r="167" customFormat="false" ht="13.8" hidden="false" customHeight="false" outlineLevel="0" collapsed="false">
      <c r="A167" s="27" t="n">
        <v>159</v>
      </c>
      <c r="B167" s="28" t="n">
        <f aca="false">IF($A167&lt;=$C$3*12,$A167,"")</f>
        <v>159</v>
      </c>
      <c r="C167" s="29" t="n">
        <f aca="false">IF($A167&lt;=$C$3*12,$E$3,"")</f>
        <v>1747.49840207314</v>
      </c>
      <c r="D167" s="29" t="n">
        <f aca="false">IF($A167&lt;=$C$3*12,F166*C$2/12,"")</f>
        <v>909.663158525588</v>
      </c>
      <c r="E167" s="29" t="n">
        <f aca="false">IF($A167&lt;=$C$3*12,$C167-$D167,"")</f>
        <v>837.835243547549</v>
      </c>
      <c r="F167" s="29" t="n">
        <f aca="false">IF($A167&lt;=$C$3*12,$F166-$E167,"")</f>
        <v>248669.773952042</v>
      </c>
    </row>
    <row r="168" customFormat="false" ht="13.8" hidden="false" customHeight="false" outlineLevel="0" collapsed="false">
      <c r="A168" s="27" t="n">
        <v>160</v>
      </c>
      <c r="B168" s="28" t="n">
        <f aca="false">IF($A168&lt;=$C$3*12,$A168,"")</f>
        <v>160</v>
      </c>
      <c r="C168" s="29" t="n">
        <f aca="false">IF($A168&lt;=$C$3*12,$E$3,"")</f>
        <v>1747.49840207314</v>
      </c>
      <c r="D168" s="29" t="n">
        <f aca="false">IF($A168&lt;=$C$3*12,F167*C$2/12,"")</f>
        <v>906.608550866821</v>
      </c>
      <c r="E168" s="29" t="n">
        <f aca="false">IF($A168&lt;=$C$3*12,$C168-$D168,"")</f>
        <v>840.889851206316</v>
      </c>
      <c r="F168" s="29" t="n">
        <f aca="false">IF($A168&lt;=$C$3*12,$F167-$E168,"")</f>
        <v>247828.884100836</v>
      </c>
    </row>
    <row r="169" customFormat="false" ht="13.8" hidden="false" customHeight="false" outlineLevel="0" collapsed="false">
      <c r="A169" s="27" t="n">
        <v>161</v>
      </c>
      <c r="B169" s="28" t="n">
        <f aca="false">IF($A169&lt;=$C$3*12,$A169,"")</f>
        <v>161</v>
      </c>
      <c r="C169" s="29" t="n">
        <f aca="false">IF($A169&lt;=$C$3*12,$E$3,"")</f>
        <v>1747.49840207314</v>
      </c>
      <c r="D169" s="29" t="n">
        <f aca="false">IF($A169&lt;=$C$3*12,F168*C$2/12,"")</f>
        <v>903.542806617631</v>
      </c>
      <c r="E169" s="29" t="n">
        <f aca="false">IF($A169&lt;=$C$3*12,$C169-$D169,"")</f>
        <v>843.955595455505</v>
      </c>
      <c r="F169" s="29" t="n">
        <f aca="false">IF($A169&lt;=$C$3*12,$F168-$E169,"")</f>
        <v>246984.92850538</v>
      </c>
    </row>
    <row r="170" customFormat="false" ht="13.8" hidden="false" customHeight="false" outlineLevel="0" collapsed="false">
      <c r="A170" s="27" t="n">
        <v>162</v>
      </c>
      <c r="B170" s="28" t="n">
        <f aca="false">IF($A170&lt;=$C$3*12,$A170,"")</f>
        <v>162</v>
      </c>
      <c r="C170" s="29" t="n">
        <f aca="false">IF($A170&lt;=$C$3*12,$E$3,"")</f>
        <v>1747.49840207314</v>
      </c>
      <c r="D170" s="29" t="n">
        <f aca="false">IF($A170&lt;=$C$3*12,F169*C$2/12,"")</f>
        <v>900.465885175866</v>
      </c>
      <c r="E170" s="29" t="n">
        <f aca="false">IF($A170&lt;=$C$3*12,$C170-$D170,"")</f>
        <v>847.03251689727</v>
      </c>
      <c r="F170" s="29" t="n">
        <f aca="false">IF($A170&lt;=$C$3*12,$F169-$E170,"")</f>
        <v>246137.895988483</v>
      </c>
    </row>
    <row r="171" customFormat="false" ht="13.8" hidden="false" customHeight="false" outlineLevel="0" collapsed="false">
      <c r="A171" s="27" t="n">
        <v>163</v>
      </c>
      <c r="B171" s="28" t="n">
        <f aca="false">IF($A171&lt;=$C$3*12,$A171,"")</f>
        <v>163</v>
      </c>
      <c r="C171" s="29" t="n">
        <f aca="false">IF($A171&lt;=$C$3*12,$E$3,"")</f>
        <v>1747.49840207314</v>
      </c>
      <c r="D171" s="29" t="n">
        <f aca="false">IF($A171&lt;=$C$3*12,F170*C$2/12,"")</f>
        <v>897.377745791345</v>
      </c>
      <c r="E171" s="29" t="n">
        <f aca="false">IF($A171&lt;=$C$3*12,$C171-$D171,"")</f>
        <v>850.120656281792</v>
      </c>
      <c r="F171" s="29" t="n">
        <f aca="false">IF($A171&lt;=$C$3*12,$F170-$E171,"")</f>
        <v>245287.775332201</v>
      </c>
    </row>
    <row r="172" customFormat="false" ht="13.8" hidden="false" customHeight="false" outlineLevel="0" collapsed="false">
      <c r="A172" s="27" t="n">
        <v>164</v>
      </c>
      <c r="B172" s="28" t="n">
        <f aca="false">IF($A172&lt;=$C$3*12,$A172,"")</f>
        <v>164</v>
      </c>
      <c r="C172" s="29" t="n">
        <f aca="false">IF($A172&lt;=$C$3*12,$E$3,"")</f>
        <v>1747.49840207314</v>
      </c>
      <c r="D172" s="29" t="n">
        <f aca="false">IF($A172&lt;=$C$3*12,F171*C$2/12,"")</f>
        <v>894.278347565317</v>
      </c>
      <c r="E172" s="29" t="n">
        <f aca="false">IF($A172&lt;=$C$3*12,$C172-$D172,"")</f>
        <v>853.220054507819</v>
      </c>
      <c r="F172" s="29" t="n">
        <f aca="false">IF($A172&lt;=$C$3*12,$F171-$E172,"")</f>
        <v>244434.555277693</v>
      </c>
    </row>
    <row r="173" customFormat="false" ht="13.8" hidden="false" customHeight="false" outlineLevel="0" collapsed="false">
      <c r="A173" s="27" t="n">
        <v>165</v>
      </c>
      <c r="B173" s="28" t="n">
        <f aca="false">IF($A173&lt;=$C$3*12,$A173,"")</f>
        <v>165</v>
      </c>
      <c r="C173" s="29" t="n">
        <f aca="false">IF($A173&lt;=$C$3*12,$E$3,"")</f>
        <v>1747.49840207314</v>
      </c>
      <c r="D173" s="29" t="n">
        <f aca="false">IF($A173&lt;=$C$3*12,F172*C$2/12,"")</f>
        <v>891.167649449924</v>
      </c>
      <c r="E173" s="29" t="n">
        <f aca="false">IF($A173&lt;=$C$3*12,$C173-$D173,"")</f>
        <v>856.330752623212</v>
      </c>
      <c r="F173" s="29" t="n">
        <f aca="false">IF($A173&lt;=$C$3*12,$F172-$E173,"")</f>
        <v>243578.22452507</v>
      </c>
    </row>
    <row r="174" customFormat="false" ht="13.8" hidden="false" customHeight="false" outlineLevel="0" collapsed="false">
      <c r="A174" s="27" t="n">
        <v>166</v>
      </c>
      <c r="B174" s="28" t="n">
        <f aca="false">IF($A174&lt;=$C$3*12,$A174,"")</f>
        <v>166</v>
      </c>
      <c r="C174" s="29" t="n">
        <f aca="false">IF($A174&lt;=$C$3*12,$E$3,"")</f>
        <v>1747.49840207314</v>
      </c>
      <c r="D174" s="29" t="n">
        <f aca="false">IF($A174&lt;=$C$3*12,F173*C$2/12,"")</f>
        <v>888.045610247652</v>
      </c>
      <c r="E174" s="29" t="n">
        <f aca="false">IF($A174&lt;=$C$3*12,$C174-$D174,"")</f>
        <v>859.452791825484</v>
      </c>
      <c r="F174" s="29" t="n">
        <f aca="false">IF($A174&lt;=$C$3*12,$F173-$E174,"")</f>
        <v>242718.771733245</v>
      </c>
    </row>
    <row r="175" customFormat="false" ht="13.8" hidden="false" customHeight="false" outlineLevel="0" collapsed="false">
      <c r="A175" s="27" t="n">
        <v>167</v>
      </c>
      <c r="B175" s="28" t="n">
        <f aca="false">IF($A175&lt;=$C$3*12,$A175,"")</f>
        <v>167</v>
      </c>
      <c r="C175" s="29" t="n">
        <f aca="false">IF($A175&lt;=$C$3*12,$E$3,"")</f>
        <v>1747.49840207314</v>
      </c>
      <c r="D175" s="29" t="n">
        <f aca="false">IF($A175&lt;=$C$3*12,F174*C$2/12,"")</f>
        <v>884.912188610788</v>
      </c>
      <c r="E175" s="29" t="n">
        <f aca="false">IF($A175&lt;=$C$3*12,$C175-$D175,"")</f>
        <v>862.586213462348</v>
      </c>
      <c r="F175" s="29" t="n">
        <f aca="false">IF($A175&lt;=$C$3*12,$F174-$E175,"")</f>
        <v>241856.185519782</v>
      </c>
    </row>
    <row r="176" customFormat="false" ht="13.8" hidden="false" customHeight="false" outlineLevel="0" collapsed="false">
      <c r="A176" s="27" t="n">
        <v>168</v>
      </c>
      <c r="B176" s="28" t="n">
        <f aca="false">IF($A176&lt;=$C$3*12,$A176,"")</f>
        <v>168</v>
      </c>
      <c r="C176" s="29" t="n">
        <f aca="false">IF($A176&lt;=$C$3*12,$E$3,"")</f>
        <v>1747.49840207314</v>
      </c>
      <c r="D176" s="29" t="n">
        <f aca="false">IF($A176&lt;=$C$3*12,F175*C$2/12,"")</f>
        <v>881.767343040874</v>
      </c>
      <c r="E176" s="29" t="n">
        <f aca="false">IF($A176&lt;=$C$3*12,$C176-$D176,"")</f>
        <v>865.731059032263</v>
      </c>
      <c r="F176" s="29" t="n">
        <f aca="false">IF($A176&lt;=$C$3*12,$F175-$E176,"")</f>
        <v>240990.45446075</v>
      </c>
    </row>
    <row r="177" customFormat="false" ht="13.8" hidden="false" customHeight="false" outlineLevel="0" collapsed="false">
      <c r="A177" s="27" t="n">
        <v>169</v>
      </c>
      <c r="B177" s="28" t="n">
        <f aca="false">IF($A177&lt;=$C$3*12,$A177,"")</f>
        <v>169</v>
      </c>
      <c r="C177" s="29" t="n">
        <f aca="false">IF($A177&lt;=$C$3*12,$E$3,"")</f>
        <v>1747.49840207314</v>
      </c>
      <c r="D177" s="29" t="n">
        <f aca="false">IF($A177&lt;=$C$3*12,F176*C$2/12,"")</f>
        <v>878.611031888152</v>
      </c>
      <c r="E177" s="29" t="n">
        <f aca="false">IF($A177&lt;=$C$3*12,$C177-$D177,"")</f>
        <v>868.887370184985</v>
      </c>
      <c r="F177" s="29" t="n">
        <f aca="false">IF($A177&lt;=$C$3*12,$F176-$E177,"")</f>
        <v>240121.567090565</v>
      </c>
    </row>
    <row r="178" customFormat="false" ht="13.8" hidden="false" customHeight="false" outlineLevel="0" collapsed="false">
      <c r="A178" s="27" t="n">
        <v>170</v>
      </c>
      <c r="B178" s="28" t="n">
        <f aca="false">IF($A178&lt;=$C$3*12,$A178,"")</f>
        <v>170</v>
      </c>
      <c r="C178" s="29" t="n">
        <f aca="false">IF($A178&lt;=$C$3*12,$E$3,"")</f>
        <v>1747.49840207314</v>
      </c>
      <c r="D178" s="29" t="n">
        <f aca="false">IF($A178&lt;=$C$3*12,F177*C$2/12,"")</f>
        <v>875.443213351019</v>
      </c>
      <c r="E178" s="29" t="n">
        <f aca="false">IF($A178&lt;=$C$3*12,$C178-$D178,"")</f>
        <v>872.055188722117</v>
      </c>
      <c r="F178" s="29" t="n">
        <f aca="false">IF($A178&lt;=$C$3*12,$F177-$E178,"")</f>
        <v>239249.511901843</v>
      </c>
    </row>
    <row r="179" customFormat="false" ht="13.8" hidden="false" customHeight="false" outlineLevel="0" collapsed="false">
      <c r="A179" s="27" t="n">
        <v>171</v>
      </c>
      <c r="B179" s="28" t="n">
        <f aca="false">IF($A179&lt;=$C$3*12,$A179,"")</f>
        <v>171</v>
      </c>
      <c r="C179" s="29" t="n">
        <f aca="false">IF($A179&lt;=$C$3*12,$E$3,"")</f>
        <v>1747.49840207314</v>
      </c>
      <c r="D179" s="29" t="n">
        <f aca="false">IF($A179&lt;=$C$3*12,F178*C$2/12,"")</f>
        <v>872.26384547547</v>
      </c>
      <c r="E179" s="29" t="n">
        <f aca="false">IF($A179&lt;=$C$3*12,$C179-$D179,"")</f>
        <v>875.234556597667</v>
      </c>
      <c r="F179" s="29" t="n">
        <f aca="false">IF($A179&lt;=$C$3*12,$F178-$E179,"")</f>
        <v>238374.277345245</v>
      </c>
    </row>
    <row r="180" customFormat="false" ht="13.8" hidden="false" customHeight="false" outlineLevel="0" collapsed="false">
      <c r="A180" s="27" t="n">
        <v>172</v>
      </c>
      <c r="B180" s="28" t="n">
        <f aca="false">IF($A180&lt;=$C$3*12,$A180,"")</f>
        <v>172</v>
      </c>
      <c r="C180" s="29" t="n">
        <f aca="false">IF($A180&lt;=$C$3*12,$E$3,"")</f>
        <v>1747.49840207314</v>
      </c>
      <c r="D180" s="29" t="n">
        <f aca="false">IF($A180&lt;=$C$3*12,F179*C$2/12,"")</f>
        <v>869.072886154541</v>
      </c>
      <c r="E180" s="29" t="n">
        <f aca="false">IF($A180&lt;=$C$3*12,$C180-$D180,"")</f>
        <v>878.425515918596</v>
      </c>
      <c r="F180" s="29" t="n">
        <f aca="false">IF($A180&lt;=$C$3*12,$F179-$E180,"")</f>
        <v>237495.851829327</v>
      </c>
    </row>
    <row r="181" customFormat="false" ht="13.8" hidden="false" customHeight="false" outlineLevel="0" collapsed="false">
      <c r="A181" s="27" t="n">
        <v>173</v>
      </c>
      <c r="B181" s="28" t="n">
        <f aca="false">IF($A181&lt;=$C$3*12,$A181,"")</f>
        <v>173</v>
      </c>
      <c r="C181" s="29" t="n">
        <f aca="false">IF($A181&lt;=$C$3*12,$E$3,"")</f>
        <v>1747.49840207314</v>
      </c>
      <c r="D181" s="29" t="n">
        <f aca="false">IF($A181&lt;=$C$3*12,F180*C$2/12,"")</f>
        <v>865.870293127754</v>
      </c>
      <c r="E181" s="29" t="n">
        <f aca="false">IF($A181&lt;=$C$3*12,$C181-$D181,"")</f>
        <v>881.628108945382</v>
      </c>
      <c r="F181" s="29" t="n">
        <f aca="false">IF($A181&lt;=$C$3*12,$F180-$E181,"")</f>
        <v>236614.223720381</v>
      </c>
    </row>
    <row r="182" customFormat="false" ht="13.8" hidden="false" customHeight="false" outlineLevel="0" collapsed="false">
      <c r="A182" s="27" t="n">
        <v>174</v>
      </c>
      <c r="B182" s="28" t="n">
        <f aca="false">IF($A182&lt;=$C$3*12,$A182,"")</f>
        <v>174</v>
      </c>
      <c r="C182" s="29" t="n">
        <f aca="false">IF($A182&lt;=$C$3*12,$E$3,"")</f>
        <v>1747.49840207314</v>
      </c>
      <c r="D182" s="29" t="n">
        <f aca="false">IF($A182&lt;=$C$3*12,F181*C$2/12,"")</f>
        <v>862.656023980558</v>
      </c>
      <c r="E182" s="29" t="n">
        <f aca="false">IF($A182&lt;=$C$3*12,$C182-$D182,"")</f>
        <v>884.842378092579</v>
      </c>
      <c r="F182" s="29" t="n">
        <f aca="false">IF($A182&lt;=$C$3*12,$F181-$E182,"")</f>
        <v>235729.381342289</v>
      </c>
    </row>
    <row r="183" customFormat="false" ht="13.8" hidden="false" customHeight="false" outlineLevel="0" collapsed="false">
      <c r="A183" s="27" t="n">
        <v>175</v>
      </c>
      <c r="B183" s="28" t="n">
        <f aca="false">IF($A183&lt;=$C$3*12,$A183,"")</f>
        <v>175</v>
      </c>
      <c r="C183" s="29" t="n">
        <f aca="false">IF($A183&lt;=$C$3*12,$E$3,"")</f>
        <v>1747.49840207314</v>
      </c>
      <c r="D183" s="29" t="n">
        <f aca="false">IF($A183&lt;=$C$3*12,F182*C$2/12,"")</f>
        <v>859.430036143762</v>
      </c>
      <c r="E183" s="29" t="n">
        <f aca="false">IF($A183&lt;=$C$3*12,$C183-$D183,"")</f>
        <v>888.068365929375</v>
      </c>
      <c r="F183" s="29" t="n">
        <f aca="false">IF($A183&lt;=$C$3*12,$F182-$E183,"")</f>
        <v>234841.312976359</v>
      </c>
    </row>
    <row r="184" customFormat="false" ht="13.8" hidden="false" customHeight="false" outlineLevel="0" collapsed="false">
      <c r="A184" s="27" t="n">
        <v>176</v>
      </c>
      <c r="B184" s="28" t="n">
        <f aca="false">IF($A184&lt;=$C$3*12,$A184,"")</f>
        <v>176</v>
      </c>
      <c r="C184" s="29" t="n">
        <f aca="false">IF($A184&lt;=$C$3*12,$E$3,"")</f>
        <v>1747.49840207314</v>
      </c>
      <c r="D184" s="29" t="n">
        <f aca="false">IF($A184&lt;=$C$3*12,F183*C$2/12,"")</f>
        <v>856.192286892977</v>
      </c>
      <c r="E184" s="29" t="n">
        <f aca="false">IF($A184&lt;=$C$3*12,$C184-$D184,"")</f>
        <v>891.306115180159</v>
      </c>
      <c r="F184" s="29" t="n">
        <f aca="false">IF($A184&lt;=$C$3*12,$F183-$E184,"")</f>
        <v>233950.006861179</v>
      </c>
    </row>
    <row r="185" customFormat="false" ht="13.8" hidden="false" customHeight="false" outlineLevel="0" collapsed="false">
      <c r="A185" s="27" t="n">
        <v>177</v>
      </c>
      <c r="B185" s="28" t="n">
        <f aca="false">IF($A185&lt;=$C$3*12,$A185,"")</f>
        <v>177</v>
      </c>
      <c r="C185" s="29" t="n">
        <f aca="false">IF($A185&lt;=$C$3*12,$E$3,"")</f>
        <v>1747.49840207314</v>
      </c>
      <c r="D185" s="29" t="n">
        <f aca="false">IF($A185&lt;=$C$3*12,F184*C$2/12,"")</f>
        <v>852.94273334805</v>
      </c>
      <c r="E185" s="29" t="n">
        <f aca="false">IF($A185&lt;=$C$3*12,$C185-$D185,"")</f>
        <v>894.555668725087</v>
      </c>
      <c r="F185" s="29" t="n">
        <f aca="false">IF($A185&lt;=$C$3*12,$F184-$E185,"")</f>
        <v>233055.451192454</v>
      </c>
    </row>
    <row r="186" customFormat="false" ht="13.8" hidden="false" customHeight="false" outlineLevel="0" collapsed="false">
      <c r="A186" s="27" t="n">
        <v>178</v>
      </c>
      <c r="B186" s="28" t="n">
        <f aca="false">IF($A186&lt;=$C$3*12,$A186,"")</f>
        <v>178</v>
      </c>
      <c r="C186" s="29" t="n">
        <f aca="false">IF($A186&lt;=$C$3*12,$E$3,"")</f>
        <v>1747.49840207314</v>
      </c>
      <c r="D186" s="29" t="n">
        <f aca="false">IF($A186&lt;=$C$3*12,F185*C$2/12,"")</f>
        <v>849.681332472489</v>
      </c>
      <c r="E186" s="29" t="n">
        <f aca="false">IF($A186&lt;=$C$3*12,$C186-$D186,"")</f>
        <v>897.817069600647</v>
      </c>
      <c r="F186" s="29" t="n">
        <f aca="false">IF($A186&lt;=$C$3*12,$F185-$E186,"")</f>
        <v>232157.634122854</v>
      </c>
    </row>
    <row r="187" customFormat="false" ht="13.8" hidden="false" customHeight="false" outlineLevel="0" collapsed="false">
      <c r="A187" s="27" t="n">
        <v>179</v>
      </c>
      <c r="B187" s="28" t="n">
        <f aca="false">IF($A187&lt;=$C$3*12,$A187,"")</f>
        <v>179</v>
      </c>
      <c r="C187" s="29" t="n">
        <f aca="false">IF($A187&lt;=$C$3*12,$E$3,"")</f>
        <v>1747.49840207314</v>
      </c>
      <c r="D187" s="29" t="n">
        <f aca="false">IF($A187&lt;=$C$3*12,F186*C$2/12,"")</f>
        <v>846.408041072904</v>
      </c>
      <c r="E187" s="29" t="n">
        <f aca="false">IF($A187&lt;=$C$3*12,$C187-$D187,"")</f>
        <v>901.090361000233</v>
      </c>
      <c r="F187" s="29" t="n">
        <f aca="false">IF($A187&lt;=$C$3*12,$F186-$E187,"")</f>
        <v>231256.543761853</v>
      </c>
    </row>
    <row r="188" customFormat="false" ht="13.8" hidden="false" customHeight="false" outlineLevel="0" collapsed="false">
      <c r="A188" s="27" t="n">
        <v>180</v>
      </c>
      <c r="B188" s="28" t="n">
        <f aca="false">IF($A188&lt;=$C$3*12,$A188,"")</f>
        <v>180</v>
      </c>
      <c r="C188" s="29" t="n">
        <f aca="false">IF($A188&lt;=$C$3*12,$E$3,"")</f>
        <v>1747.49840207314</v>
      </c>
      <c r="D188" s="29" t="n">
        <f aca="false">IF($A188&lt;=$C$3*12,F187*C$2/12,"")</f>
        <v>843.122815798424</v>
      </c>
      <c r="E188" s="29" t="n">
        <f aca="false">IF($A188&lt;=$C$3*12,$C188-$D188,"")</f>
        <v>904.375586274713</v>
      </c>
      <c r="F188" s="29" t="n">
        <f aca="false">IF($A188&lt;=$C$3*12,$F187-$E188,"")</f>
        <v>230352.168175579</v>
      </c>
    </row>
    <row r="189" customFormat="false" ht="13.8" hidden="false" customHeight="false" outlineLevel="0" collapsed="false">
      <c r="A189" s="27" t="n">
        <v>181</v>
      </c>
      <c r="B189" s="28" t="n">
        <f aca="false">IF($A189&lt;=$C$3*12,$A189,"")</f>
        <v>181</v>
      </c>
      <c r="C189" s="29" t="n">
        <f aca="false">IF($A189&lt;=$C$3*12,$E$3,"")</f>
        <v>1747.49840207314</v>
      </c>
      <c r="D189" s="29" t="n">
        <f aca="false">IF($A189&lt;=$C$3*12,F188*C$2/12,"")</f>
        <v>839.82561314013</v>
      </c>
      <c r="E189" s="29" t="n">
        <f aca="false">IF($A189&lt;=$C$3*12,$C189-$D189,"")</f>
        <v>907.672788933006</v>
      </c>
      <c r="F189" s="29" t="n">
        <f aca="false">IF($A189&lt;=$C$3*12,$F188-$E189,"")</f>
        <v>229444.495386646</v>
      </c>
    </row>
    <row r="190" customFormat="false" ht="13.8" hidden="false" customHeight="false" outlineLevel="0" collapsed="false">
      <c r="A190" s="27" t="n">
        <v>182</v>
      </c>
      <c r="B190" s="28" t="n">
        <f aca="false">IF($A190&lt;=$C$3*12,$A190,"")</f>
        <v>182</v>
      </c>
      <c r="C190" s="29" t="n">
        <f aca="false">IF($A190&lt;=$C$3*12,$E$3,"")</f>
        <v>1747.49840207314</v>
      </c>
      <c r="D190" s="29" t="n">
        <f aca="false">IF($A190&lt;=$C$3*12,F189*C$2/12,"")</f>
        <v>836.516389430479</v>
      </c>
      <c r="E190" s="29" t="n">
        <f aca="false">IF($A190&lt;=$C$3*12,$C190-$D190,"")</f>
        <v>910.982012642658</v>
      </c>
      <c r="F190" s="29" t="n">
        <f aca="false">IF($A190&lt;=$C$3*12,$F189-$E190,"")</f>
        <v>228533.513374003</v>
      </c>
    </row>
    <row r="191" customFormat="false" ht="13.8" hidden="false" customHeight="false" outlineLevel="0" collapsed="false">
      <c r="A191" s="27" t="n">
        <v>183</v>
      </c>
      <c r="B191" s="28" t="n">
        <f aca="false">IF($A191&lt;=$C$3*12,$A191,"")</f>
        <v>183</v>
      </c>
      <c r="C191" s="29" t="n">
        <f aca="false">IF($A191&lt;=$C$3*12,$E$3,"")</f>
        <v>1747.49840207314</v>
      </c>
      <c r="D191" s="29" t="n">
        <f aca="false">IF($A191&lt;=$C$3*12,F190*C$2/12,"")</f>
        <v>833.195100842719</v>
      </c>
      <c r="E191" s="29" t="n">
        <f aca="false">IF($A191&lt;=$C$3*12,$C191-$D191,"")</f>
        <v>914.303301230417</v>
      </c>
      <c r="F191" s="29" t="n">
        <f aca="false">IF($A191&lt;=$C$3*12,$F190-$E191,"")</f>
        <v>227619.210072773</v>
      </c>
    </row>
    <row r="192" customFormat="false" ht="13.8" hidden="false" customHeight="false" outlineLevel="0" collapsed="false">
      <c r="A192" s="27" t="n">
        <v>184</v>
      </c>
      <c r="B192" s="28" t="n">
        <f aca="false">IF($A192&lt;=$C$3*12,$A192,"")</f>
        <v>184</v>
      </c>
      <c r="C192" s="29" t="n">
        <f aca="false">IF($A192&lt;=$C$3*12,$E$3,"")</f>
        <v>1747.49840207314</v>
      </c>
      <c r="D192" s="29" t="n">
        <f aca="false">IF($A192&lt;=$C$3*12,F191*C$2/12,"")</f>
        <v>829.861703390317</v>
      </c>
      <c r="E192" s="29" t="n">
        <f aca="false">IF($A192&lt;=$C$3*12,$C192-$D192,"")</f>
        <v>917.63669868282</v>
      </c>
      <c r="F192" s="29" t="n">
        <f aca="false">IF($A192&lt;=$C$3*12,$F191-$E192,"")</f>
        <v>226701.57337409</v>
      </c>
    </row>
    <row r="193" customFormat="false" ht="13.8" hidden="false" customHeight="false" outlineLevel="0" collapsed="false">
      <c r="A193" s="27" t="n">
        <v>185</v>
      </c>
      <c r="B193" s="28" t="n">
        <f aca="false">IF($A193&lt;=$C$3*12,$A193,"")</f>
        <v>185</v>
      </c>
      <c r="C193" s="29" t="n">
        <f aca="false">IF($A193&lt;=$C$3*12,$E$3,"")</f>
        <v>1747.49840207314</v>
      </c>
      <c r="D193" s="29" t="n">
        <f aca="false">IF($A193&lt;=$C$3*12,F192*C$2/12,"")</f>
        <v>826.516152926369</v>
      </c>
      <c r="E193" s="29" t="n">
        <f aca="false">IF($A193&lt;=$C$3*12,$C193-$D193,"")</f>
        <v>920.982249146768</v>
      </c>
      <c r="F193" s="29" t="n">
        <f aca="false">IF($A193&lt;=$C$3*12,$F192-$E193,"")</f>
        <v>225780.591124943</v>
      </c>
    </row>
    <row r="194" customFormat="false" ht="13.8" hidden="false" customHeight="false" outlineLevel="0" collapsed="false">
      <c r="A194" s="27" t="n">
        <v>186</v>
      </c>
      <c r="B194" s="28" t="n">
        <f aca="false">IF($A194&lt;=$C$3*12,$A194,"")</f>
        <v>186</v>
      </c>
      <c r="C194" s="29" t="n">
        <f aca="false">IF($A194&lt;=$C$3*12,$E$3,"")</f>
        <v>1747.49840207314</v>
      </c>
      <c r="D194" s="29" t="n">
        <f aca="false">IF($A194&lt;=$C$3*12,F193*C$2/12,"")</f>
        <v>823.158405143021</v>
      </c>
      <c r="E194" s="29" t="n">
        <f aca="false">IF($A194&lt;=$C$3*12,$C194-$D194,"")</f>
        <v>924.339996930115</v>
      </c>
      <c r="F194" s="29" t="n">
        <f aca="false">IF($A194&lt;=$C$3*12,$F193-$E194,"")</f>
        <v>224856.251128013</v>
      </c>
    </row>
    <row r="195" customFormat="false" ht="13.8" hidden="false" customHeight="false" outlineLevel="0" collapsed="false">
      <c r="A195" s="27" t="n">
        <v>187</v>
      </c>
      <c r="B195" s="28" t="n">
        <f aca="false">IF($A195&lt;=$C$3*12,$A195,"")</f>
        <v>187</v>
      </c>
      <c r="C195" s="29" t="n">
        <f aca="false">IF($A195&lt;=$C$3*12,$E$3,"")</f>
        <v>1747.49840207314</v>
      </c>
      <c r="D195" s="29" t="n">
        <f aca="false">IF($A195&lt;=$C$3*12,F194*C$2/12,"")</f>
        <v>819.78841557088</v>
      </c>
      <c r="E195" s="29" t="n">
        <f aca="false">IF($A195&lt;=$C$3*12,$C195-$D195,"")</f>
        <v>927.709986502256</v>
      </c>
      <c r="F195" s="29" t="n">
        <f aca="false">IF($A195&lt;=$C$3*12,$F194-$E195,"")</f>
        <v>223928.541141511</v>
      </c>
    </row>
    <row r="196" customFormat="false" ht="13.8" hidden="false" customHeight="false" outlineLevel="0" collapsed="false">
      <c r="A196" s="27" t="n">
        <v>188</v>
      </c>
      <c r="B196" s="28" t="n">
        <f aca="false">IF($A196&lt;=$C$3*12,$A196,"")</f>
        <v>188</v>
      </c>
      <c r="C196" s="29" t="n">
        <f aca="false">IF($A196&lt;=$C$3*12,$E$3,"")</f>
        <v>1747.49840207314</v>
      </c>
      <c r="D196" s="29" t="n">
        <f aca="false">IF($A196&lt;=$C$3*12,F195*C$2/12,"")</f>
        <v>816.406139578424</v>
      </c>
      <c r="E196" s="29" t="n">
        <f aca="false">IF($A196&lt;=$C$3*12,$C196-$D196,"")</f>
        <v>931.092262494712</v>
      </c>
      <c r="F196" s="29" t="n">
        <f aca="false">IF($A196&lt;=$C$3*12,$F195-$E196,"")</f>
        <v>222997.448879016</v>
      </c>
    </row>
    <row r="197" customFormat="false" ht="13.8" hidden="false" customHeight="false" outlineLevel="0" collapsed="false">
      <c r="A197" s="27" t="n">
        <v>189</v>
      </c>
      <c r="B197" s="28" t="n">
        <f aca="false">IF($A197&lt;=$C$3*12,$A197,"")</f>
        <v>189</v>
      </c>
      <c r="C197" s="29" t="n">
        <f aca="false">IF($A197&lt;=$C$3*12,$E$3,"")</f>
        <v>1747.49840207314</v>
      </c>
      <c r="D197" s="29" t="n">
        <f aca="false">IF($A197&lt;=$C$3*12,F196*C$2/12,"")</f>
        <v>813.011532371412</v>
      </c>
      <c r="E197" s="29" t="n">
        <f aca="false">IF($A197&lt;=$C$3*12,$C197-$D197,"")</f>
        <v>934.486869701724</v>
      </c>
      <c r="F197" s="29" t="n">
        <f aca="false">IF($A197&lt;=$C$3*12,$F196-$E197,"")</f>
        <v>222062.962009314</v>
      </c>
    </row>
    <row r="198" customFormat="false" ht="13.8" hidden="false" customHeight="false" outlineLevel="0" collapsed="false">
      <c r="A198" s="27" t="n">
        <v>190</v>
      </c>
      <c r="B198" s="28" t="n">
        <f aca="false">IF($A198&lt;=$C$3*12,$A198,"")</f>
        <v>190</v>
      </c>
      <c r="C198" s="29" t="n">
        <f aca="false">IF($A198&lt;=$C$3*12,$E$3,"")</f>
        <v>1747.49840207314</v>
      </c>
      <c r="D198" s="29" t="n">
        <f aca="false">IF($A198&lt;=$C$3*12,F197*C$2/12,"")</f>
        <v>809.604548992291</v>
      </c>
      <c r="E198" s="29" t="n">
        <f aca="false">IF($A198&lt;=$C$3*12,$C198-$D198,"")</f>
        <v>937.893853080845</v>
      </c>
      <c r="F198" s="29" t="n">
        <f aca="false">IF($A198&lt;=$C$3*12,$F197-$E198,"")</f>
        <v>221125.068156233</v>
      </c>
    </row>
    <row r="199" customFormat="false" ht="13.8" hidden="false" customHeight="false" outlineLevel="0" collapsed="false">
      <c r="A199" s="27" t="n">
        <v>191</v>
      </c>
      <c r="B199" s="28" t="n">
        <f aca="false">IF($A199&lt;=$C$3*12,$A199,"")</f>
        <v>191</v>
      </c>
      <c r="C199" s="29" t="n">
        <f aca="false">IF($A199&lt;=$C$3*12,$E$3,"")</f>
        <v>1747.49840207314</v>
      </c>
      <c r="D199" s="29" t="n">
        <f aca="false">IF($A199&lt;=$C$3*12,F198*C$2/12,"")</f>
        <v>806.185144319601</v>
      </c>
      <c r="E199" s="29" t="n">
        <f aca="false">IF($A199&lt;=$C$3*12,$C199-$D199,"")</f>
        <v>941.313257753536</v>
      </c>
      <c r="F199" s="29" t="n">
        <f aca="false">IF($A199&lt;=$C$3*12,$F198-$E199,"")</f>
        <v>220183.75489848</v>
      </c>
    </row>
    <row r="200" customFormat="false" ht="13.8" hidden="false" customHeight="false" outlineLevel="0" collapsed="false">
      <c r="A200" s="27" t="n">
        <v>192</v>
      </c>
      <c r="B200" s="28" t="n">
        <f aca="false">IF($A200&lt;=$C$3*12,$A200,"")</f>
        <v>192</v>
      </c>
      <c r="C200" s="29" t="n">
        <f aca="false">IF($A200&lt;=$C$3*12,$E$3,"")</f>
        <v>1747.49840207314</v>
      </c>
      <c r="D200" s="29" t="n">
        <f aca="false">IF($A200&lt;=$C$3*12,F199*C$2/12,"")</f>
        <v>802.753273067374</v>
      </c>
      <c r="E200" s="29" t="n">
        <f aca="false">IF($A200&lt;=$C$3*12,$C200-$D200,"")</f>
        <v>944.745129005762</v>
      </c>
      <c r="F200" s="29" t="n">
        <f aca="false">IF($A200&lt;=$C$3*12,$F199-$E200,"")</f>
        <v>219239.009769474</v>
      </c>
    </row>
    <row r="201" customFormat="false" ht="13.8" hidden="false" customHeight="false" outlineLevel="0" collapsed="false">
      <c r="A201" s="27" t="n">
        <v>193</v>
      </c>
      <c r="B201" s="28" t="n">
        <f aca="false">IF($A201&lt;=$C$3*12,$A201,"")</f>
        <v>193</v>
      </c>
      <c r="C201" s="29" t="n">
        <f aca="false">IF($A201&lt;=$C$3*12,$E$3,"")</f>
        <v>1747.49840207314</v>
      </c>
      <c r="D201" s="29" t="n">
        <f aca="false">IF($A201&lt;=$C$3*12,F200*C$2/12,"")</f>
        <v>799.308889784541</v>
      </c>
      <c r="E201" s="29" t="n">
        <f aca="false">IF($A201&lt;=$C$3*12,$C201-$D201,"")</f>
        <v>948.189512288596</v>
      </c>
      <c r="F201" s="29" t="n">
        <f aca="false">IF($A201&lt;=$C$3*12,$F200-$E201,"")</f>
        <v>218290.820257185</v>
      </c>
    </row>
    <row r="202" customFormat="false" ht="13.8" hidden="false" customHeight="false" outlineLevel="0" collapsed="false">
      <c r="A202" s="27" t="n">
        <v>194</v>
      </c>
      <c r="B202" s="28" t="n">
        <f aca="false">IF($A202&lt;=$C$3*12,$A202,"")</f>
        <v>194</v>
      </c>
      <c r="C202" s="29" t="n">
        <f aca="false">IF($A202&lt;=$C$3*12,$E$3,"")</f>
        <v>1747.49840207314</v>
      </c>
      <c r="D202" s="29" t="n">
        <f aca="false">IF($A202&lt;=$C$3*12,F201*C$2/12,"")</f>
        <v>795.851948854322</v>
      </c>
      <c r="E202" s="29" t="n">
        <f aca="false">IF($A202&lt;=$C$3*12,$C202-$D202,"")</f>
        <v>951.646453218814</v>
      </c>
      <c r="F202" s="29" t="n">
        <f aca="false">IF($A202&lt;=$C$3*12,$F201-$E202,"")</f>
        <v>217339.173803967</v>
      </c>
    </row>
    <row r="203" customFormat="false" ht="13.8" hidden="false" customHeight="false" outlineLevel="0" collapsed="false">
      <c r="A203" s="27" t="n">
        <v>195</v>
      </c>
      <c r="B203" s="28" t="n">
        <f aca="false">IF($A203&lt;=$C$3*12,$A203,"")</f>
        <v>195</v>
      </c>
      <c r="C203" s="29" t="n">
        <f aca="false">IF($A203&lt;=$C$3*12,$E$3,"")</f>
        <v>1747.49840207314</v>
      </c>
      <c r="D203" s="29" t="n">
        <f aca="false">IF($A203&lt;=$C$3*12,F202*C$2/12,"")</f>
        <v>792.382404493628</v>
      </c>
      <c r="E203" s="29" t="n">
        <f aca="false">IF($A203&lt;=$C$3*12,$C203-$D203,"")</f>
        <v>955.115997579508</v>
      </c>
      <c r="F203" s="29" t="n">
        <f aca="false">IF($A203&lt;=$C$3*12,$F202-$E203,"")</f>
        <v>216384.057806387</v>
      </c>
    </row>
    <row r="204" customFormat="false" ht="13.8" hidden="false" customHeight="false" outlineLevel="0" collapsed="false">
      <c r="A204" s="27" t="n">
        <v>196</v>
      </c>
      <c r="B204" s="28" t="n">
        <f aca="false">IF($A204&lt;=$C$3*12,$A204,"")</f>
        <v>196</v>
      </c>
      <c r="C204" s="29" t="n">
        <f aca="false">IF($A204&lt;=$C$3*12,$E$3,"")</f>
        <v>1747.49840207314</v>
      </c>
      <c r="D204" s="29" t="n">
        <f aca="false">IF($A204&lt;=$C$3*12,F203*C$2/12,"")</f>
        <v>788.900210752453</v>
      </c>
      <c r="E204" s="29" t="n">
        <f aca="false">IF($A204&lt;=$C$3*12,$C204-$D204,"")</f>
        <v>958.598191320683</v>
      </c>
      <c r="F204" s="29" t="n">
        <f aca="false">IF($A204&lt;=$C$3*12,$F203-$E204,"")</f>
        <v>215425.459615066</v>
      </c>
    </row>
    <row r="205" customFormat="false" ht="13.8" hidden="false" customHeight="false" outlineLevel="0" collapsed="false">
      <c r="A205" s="27" t="n">
        <v>197</v>
      </c>
      <c r="B205" s="28" t="n">
        <f aca="false">IF($A205&lt;=$C$3*12,$A205,"")</f>
        <v>197</v>
      </c>
      <c r="C205" s="29" t="n">
        <f aca="false">IF($A205&lt;=$C$3*12,$E$3,"")</f>
        <v>1747.49840207314</v>
      </c>
      <c r="D205" s="29" t="n">
        <f aca="false">IF($A205&lt;=$C$3*12,F204*C$2/12,"")</f>
        <v>785.405321513263</v>
      </c>
      <c r="E205" s="29" t="n">
        <f aca="false">IF($A205&lt;=$C$3*12,$C205-$D205,"")</f>
        <v>962.093080559873</v>
      </c>
      <c r="F205" s="29" t="n">
        <f aca="false">IF($A205&lt;=$C$3*12,$F204-$E205,"")</f>
        <v>214463.366534507</v>
      </c>
    </row>
    <row r="206" customFormat="false" ht="13.8" hidden="false" customHeight="false" outlineLevel="0" collapsed="false">
      <c r="A206" s="27" t="n">
        <v>198</v>
      </c>
      <c r="B206" s="28" t="n">
        <f aca="false">IF($A206&lt;=$C$3*12,$A206,"")</f>
        <v>198</v>
      </c>
      <c r="C206" s="29" t="n">
        <f aca="false">IF($A206&lt;=$C$3*12,$E$3,"")</f>
        <v>1747.49840207314</v>
      </c>
      <c r="D206" s="29" t="n">
        <f aca="false">IF($A206&lt;=$C$3*12,F205*C$2/12,"")</f>
        <v>781.897690490388</v>
      </c>
      <c r="E206" s="29" t="n">
        <f aca="false">IF($A206&lt;=$C$3*12,$C206-$D206,"")</f>
        <v>965.600711582748</v>
      </c>
      <c r="F206" s="29" t="n">
        <f aca="false">IF($A206&lt;=$C$3*12,$F205-$E206,"")</f>
        <v>213497.765822924</v>
      </c>
    </row>
    <row r="207" customFormat="false" ht="13.8" hidden="false" customHeight="false" outlineLevel="0" collapsed="false">
      <c r="A207" s="27" t="n">
        <v>199</v>
      </c>
      <c r="B207" s="28" t="n">
        <f aca="false">IF($A207&lt;=$C$3*12,$A207,"")</f>
        <v>199</v>
      </c>
      <c r="C207" s="29" t="n">
        <f aca="false">IF($A207&lt;=$C$3*12,$E$3,"")</f>
        <v>1747.49840207314</v>
      </c>
      <c r="D207" s="29" t="n">
        <f aca="false">IF($A207&lt;=$C$3*12,F206*C$2/12,"")</f>
        <v>778.37727122941</v>
      </c>
      <c r="E207" s="29" t="n">
        <f aca="false">IF($A207&lt;=$C$3*12,$C207-$D207,"")</f>
        <v>969.121130843727</v>
      </c>
      <c r="F207" s="29" t="n">
        <f aca="false">IF($A207&lt;=$C$3*12,$F206-$E207,"")</f>
        <v>212528.64469208</v>
      </c>
    </row>
    <row r="208" customFormat="false" ht="13.8" hidden="false" customHeight="false" outlineLevel="0" collapsed="false">
      <c r="A208" s="27" t="n">
        <v>200</v>
      </c>
      <c r="B208" s="28" t="n">
        <f aca="false">IF($A208&lt;=$C$3*12,$A208,"")</f>
        <v>200</v>
      </c>
      <c r="C208" s="29" t="n">
        <f aca="false">IF($A208&lt;=$C$3*12,$E$3,"")</f>
        <v>1747.49840207314</v>
      </c>
      <c r="D208" s="29" t="n">
        <f aca="false">IF($A208&lt;=$C$3*12,F207*C$2/12,"")</f>
        <v>774.844017106542</v>
      </c>
      <c r="E208" s="29" t="n">
        <f aca="false">IF($A208&lt;=$C$3*12,$C208-$D208,"")</f>
        <v>972.654384966594</v>
      </c>
      <c r="F208" s="29" t="n">
        <f aca="false">IF($A208&lt;=$C$3*12,$F207-$E208,"")</f>
        <v>211555.990307113</v>
      </c>
    </row>
    <row r="209" customFormat="false" ht="13.8" hidden="false" customHeight="false" outlineLevel="0" collapsed="false">
      <c r="A209" s="27" t="n">
        <v>201</v>
      </c>
      <c r="B209" s="28" t="n">
        <f aca="false">IF($A209&lt;=$C$3*12,$A209,"")</f>
        <v>201</v>
      </c>
      <c r="C209" s="29" t="n">
        <f aca="false">IF($A209&lt;=$C$3*12,$E$3,"")</f>
        <v>1747.49840207314</v>
      </c>
      <c r="D209" s="29" t="n">
        <f aca="false">IF($A209&lt;=$C$3*12,F208*C$2/12,"")</f>
        <v>771.297881328018</v>
      </c>
      <c r="E209" s="29" t="n">
        <f aca="false">IF($A209&lt;=$C$3*12,$C209-$D209,"")</f>
        <v>976.200520745118</v>
      </c>
      <c r="F209" s="29" t="n">
        <f aca="false">IF($A209&lt;=$C$3*12,$F208-$E209,"")</f>
        <v>210579.789786368</v>
      </c>
    </row>
    <row r="210" customFormat="false" ht="13.8" hidden="false" customHeight="false" outlineLevel="0" collapsed="false">
      <c r="A210" s="27" t="n">
        <v>202</v>
      </c>
      <c r="B210" s="28" t="n">
        <f aca="false">IF($A210&lt;=$C$3*12,$A210,"")</f>
        <v>202</v>
      </c>
      <c r="C210" s="29" t="n">
        <f aca="false">IF($A210&lt;=$C$3*12,$E$3,"")</f>
        <v>1747.49840207314</v>
      </c>
      <c r="D210" s="29" t="n">
        <f aca="false">IF($A210&lt;=$C$3*12,F209*C$2/12,"")</f>
        <v>767.738816929468</v>
      </c>
      <c r="E210" s="29" t="n">
        <f aca="false">IF($A210&lt;=$C$3*12,$C210-$D210,"")</f>
        <v>979.759585143668</v>
      </c>
      <c r="F210" s="29" t="n">
        <f aca="false">IF($A210&lt;=$C$3*12,$F209-$E210,"")</f>
        <v>209600.030201225</v>
      </c>
    </row>
    <row r="211" customFormat="false" ht="13.8" hidden="false" customHeight="false" outlineLevel="0" collapsed="false">
      <c r="A211" s="27" t="n">
        <v>203</v>
      </c>
      <c r="B211" s="28" t="n">
        <f aca="false">IF($A211&lt;=$C$3*12,$A211,"")</f>
        <v>203</v>
      </c>
      <c r="C211" s="29" t="n">
        <f aca="false">IF($A211&lt;=$C$3*12,$E$3,"")</f>
        <v>1747.49840207314</v>
      </c>
      <c r="D211" s="29" t="n">
        <f aca="false">IF($A211&lt;=$C$3*12,F210*C$2/12,"")</f>
        <v>764.166776775298</v>
      </c>
      <c r="E211" s="29" t="n">
        <f aca="false">IF($A211&lt;=$C$3*12,$C211-$D211,"")</f>
        <v>983.331625297838</v>
      </c>
      <c r="F211" s="29" t="n">
        <f aca="false">IF($A211&lt;=$C$3*12,$F210-$E211,"")</f>
        <v>208616.698575927</v>
      </c>
    </row>
    <row r="212" customFormat="false" ht="13.8" hidden="false" customHeight="false" outlineLevel="0" collapsed="false">
      <c r="A212" s="27" t="n">
        <v>204</v>
      </c>
      <c r="B212" s="28" t="n">
        <f aca="false">IF($A212&lt;=$C$3*12,$A212,"")</f>
        <v>204</v>
      </c>
      <c r="C212" s="29" t="n">
        <f aca="false">IF($A212&lt;=$C$3*12,$E$3,"")</f>
        <v>1747.49840207314</v>
      </c>
      <c r="D212" s="29" t="n">
        <f aca="false">IF($A212&lt;=$C$3*12,F211*C$2/12,"")</f>
        <v>760.581713558066</v>
      </c>
      <c r="E212" s="29" t="n">
        <f aca="false">IF($A212&lt;=$C$3*12,$C212-$D212,"")</f>
        <v>986.91668851507</v>
      </c>
      <c r="F212" s="29" t="n">
        <f aca="false">IF($A212&lt;=$C$3*12,$F211-$E212,"")</f>
        <v>207629.781887412</v>
      </c>
    </row>
    <row r="213" customFormat="false" ht="13.8" hidden="false" customHeight="false" outlineLevel="0" collapsed="false">
      <c r="A213" s="27" t="n">
        <v>205</v>
      </c>
      <c r="B213" s="28" t="n">
        <f aca="false">IF($A213&lt;=$C$3*12,$A213,"")</f>
        <v>205</v>
      </c>
      <c r="C213" s="29" t="n">
        <f aca="false">IF($A213&lt;=$C$3*12,$E$3,"")</f>
        <v>1747.49840207314</v>
      </c>
      <c r="D213" s="29" t="n">
        <f aca="false">IF($A213&lt;=$C$3*12,F212*C$2/12,"")</f>
        <v>756.983579797855</v>
      </c>
      <c r="E213" s="29" t="n">
        <f aca="false">IF($A213&lt;=$C$3*12,$C213-$D213,"")</f>
        <v>990.514822275281</v>
      </c>
      <c r="F213" s="29" t="n">
        <f aca="false">IF($A213&lt;=$C$3*12,$F212-$E213,"")</f>
        <v>206639.267065136</v>
      </c>
    </row>
    <row r="214" customFormat="false" ht="13.8" hidden="false" customHeight="false" outlineLevel="0" collapsed="false">
      <c r="A214" s="27" t="n">
        <v>206</v>
      </c>
      <c r="B214" s="28" t="n">
        <f aca="false">IF($A214&lt;=$C$3*12,$A214,"")</f>
        <v>206</v>
      </c>
      <c r="C214" s="29" t="n">
        <f aca="false">IF($A214&lt;=$C$3*12,$E$3,"")</f>
        <v>1747.49840207314</v>
      </c>
      <c r="D214" s="29" t="n">
        <f aca="false">IF($A214&lt;=$C$3*12,F213*C$2/12,"")</f>
        <v>753.372327841643</v>
      </c>
      <c r="E214" s="29" t="n">
        <f aca="false">IF($A214&lt;=$C$3*12,$C214-$D214,"")</f>
        <v>994.126074231493</v>
      </c>
      <c r="F214" s="29" t="n">
        <f aca="false">IF($A214&lt;=$C$3*12,$F213-$E214,"")</f>
        <v>205645.140990905</v>
      </c>
    </row>
    <row r="215" customFormat="false" ht="13.8" hidden="false" customHeight="false" outlineLevel="0" collapsed="false">
      <c r="A215" s="27" t="n">
        <v>207</v>
      </c>
      <c r="B215" s="28" t="n">
        <f aca="false">IF($A215&lt;=$C$3*12,$A215,"")</f>
        <v>207</v>
      </c>
      <c r="C215" s="29" t="n">
        <f aca="false">IF($A215&lt;=$C$3*12,$E$3,"")</f>
        <v>1747.49840207314</v>
      </c>
      <c r="D215" s="29" t="n">
        <f aca="false">IF($A215&lt;=$C$3*12,F214*C$2/12,"")</f>
        <v>749.747909862674</v>
      </c>
      <c r="E215" s="29" t="n">
        <f aca="false">IF($A215&lt;=$C$3*12,$C215-$D215,"")</f>
        <v>997.750492210462</v>
      </c>
      <c r="F215" s="29" t="n">
        <f aca="false">IF($A215&lt;=$C$3*12,$F214-$E215,"")</f>
        <v>204647.390498695</v>
      </c>
    </row>
    <row r="216" customFormat="false" ht="13.8" hidden="false" customHeight="false" outlineLevel="0" collapsed="false">
      <c r="A216" s="27" t="n">
        <v>208</v>
      </c>
      <c r="B216" s="28" t="n">
        <f aca="false">IF($A216&lt;=$C$3*12,$A216,"")</f>
        <v>208</v>
      </c>
      <c r="C216" s="29" t="n">
        <f aca="false">IF($A216&lt;=$C$3*12,$E$3,"")</f>
        <v>1747.49840207314</v>
      </c>
      <c r="D216" s="29" t="n">
        <f aca="false">IF($A216&lt;=$C$3*12,F215*C$2/12,"")</f>
        <v>746.110277859824</v>
      </c>
      <c r="E216" s="29" t="n">
        <f aca="false">IF($A216&lt;=$C$3*12,$C216-$D216,"")</f>
        <v>1001.38812421331</v>
      </c>
      <c r="F216" s="29" t="n">
        <f aca="false">IF($A216&lt;=$C$3*12,$F215-$E216,"")</f>
        <v>203646.002374481</v>
      </c>
    </row>
    <row r="217" customFormat="false" ht="13.8" hidden="false" customHeight="false" outlineLevel="0" collapsed="false">
      <c r="A217" s="27" t="n">
        <v>209</v>
      </c>
      <c r="B217" s="28" t="n">
        <f aca="false">IF($A217&lt;=$C$3*12,$A217,"")</f>
        <v>209</v>
      </c>
      <c r="C217" s="29" t="n">
        <f aca="false">IF($A217&lt;=$C$3*12,$E$3,"")</f>
        <v>1747.49840207314</v>
      </c>
      <c r="D217" s="29" t="n">
        <f aca="false">IF($A217&lt;=$C$3*12,F216*C$2/12,"")</f>
        <v>742.459383656963</v>
      </c>
      <c r="E217" s="29" t="n">
        <f aca="false">IF($A217&lt;=$C$3*12,$C217-$D217,"")</f>
        <v>1005.03901841617</v>
      </c>
      <c r="F217" s="29" t="n">
        <f aca="false">IF($A217&lt;=$C$3*12,$F216-$E217,"")</f>
        <v>202640.963356065</v>
      </c>
    </row>
    <row r="218" customFormat="false" ht="13.8" hidden="false" customHeight="false" outlineLevel="0" collapsed="false">
      <c r="A218" s="27" t="n">
        <v>210</v>
      </c>
      <c r="B218" s="28" t="n">
        <f aca="false">IF($A218&lt;=$C$3*12,$A218,"")</f>
        <v>210</v>
      </c>
      <c r="C218" s="29" t="n">
        <f aca="false">IF($A218&lt;=$C$3*12,$E$3,"")</f>
        <v>1747.49840207314</v>
      </c>
      <c r="D218" s="29" t="n">
        <f aca="false">IF($A218&lt;=$C$3*12,F217*C$2/12,"")</f>
        <v>738.79517890232</v>
      </c>
      <c r="E218" s="29" t="n">
        <f aca="false">IF($A218&lt;=$C$3*12,$C218-$D218,"")</f>
        <v>1008.70322317082</v>
      </c>
      <c r="F218" s="29" t="n">
        <f aca="false">IF($A218&lt;=$C$3*12,$F217-$E218,"")</f>
        <v>201632.260132894</v>
      </c>
    </row>
    <row r="219" customFormat="false" ht="13.8" hidden="false" customHeight="false" outlineLevel="0" collapsed="false">
      <c r="A219" s="27" t="n">
        <v>211</v>
      </c>
      <c r="B219" s="28" t="n">
        <f aca="false">IF($A219&lt;=$C$3*12,$A219,"")</f>
        <v>211</v>
      </c>
      <c r="C219" s="29" t="n">
        <f aca="false">IF($A219&lt;=$C$3*12,$E$3,"")</f>
        <v>1747.49840207314</v>
      </c>
      <c r="D219" s="29" t="n">
        <f aca="false">IF($A219&lt;=$C$3*12,F218*C$2/12,"")</f>
        <v>735.117615067843</v>
      </c>
      <c r="E219" s="29" t="n">
        <f aca="false">IF($A219&lt;=$C$3*12,$C219-$D219,"")</f>
        <v>1012.38078700529</v>
      </c>
      <c r="F219" s="29" t="n">
        <f aca="false">IF($A219&lt;=$C$3*12,$F218-$E219,"")</f>
        <v>200619.879345889</v>
      </c>
    </row>
    <row r="220" customFormat="false" ht="13.8" hidden="false" customHeight="false" outlineLevel="0" collapsed="false">
      <c r="A220" s="27" t="n">
        <v>212</v>
      </c>
      <c r="B220" s="28" t="n">
        <f aca="false">IF($A220&lt;=$C$3*12,$A220,"")</f>
        <v>212</v>
      </c>
      <c r="C220" s="29" t="n">
        <f aca="false">IF($A220&lt;=$C$3*12,$E$3,"")</f>
        <v>1747.49840207314</v>
      </c>
      <c r="D220" s="29" t="n">
        <f aca="false">IF($A220&lt;=$C$3*12,F219*C$2/12,"")</f>
        <v>731.426643448553</v>
      </c>
      <c r="E220" s="29" t="n">
        <f aca="false">IF($A220&lt;=$C$3*12,$C220-$D220,"")</f>
        <v>1016.07175862458</v>
      </c>
      <c r="F220" s="29" t="n">
        <f aca="false">IF($A220&lt;=$C$3*12,$F219-$E220,"")</f>
        <v>199603.807587264</v>
      </c>
    </row>
    <row r="221" customFormat="false" ht="13.8" hidden="false" customHeight="false" outlineLevel="0" collapsed="false">
      <c r="A221" s="27" t="n">
        <v>213</v>
      </c>
      <c r="B221" s="28" t="n">
        <f aca="false">IF($A221&lt;=$C$3*12,$A221,"")</f>
        <v>213</v>
      </c>
      <c r="C221" s="29" t="n">
        <f aca="false">IF($A221&lt;=$C$3*12,$E$3,"")</f>
        <v>1747.49840207314</v>
      </c>
      <c r="D221" s="29" t="n">
        <f aca="false">IF($A221&lt;=$C$3*12,F220*C$2/12,"")</f>
        <v>727.722215161901</v>
      </c>
      <c r="E221" s="29" t="n">
        <f aca="false">IF($A221&lt;=$C$3*12,$C221-$D221,"")</f>
        <v>1019.77618691124</v>
      </c>
      <c r="F221" s="29" t="n">
        <f aca="false">IF($A221&lt;=$C$3*12,$F220-$E221,"")</f>
        <v>198584.031400353</v>
      </c>
    </row>
    <row r="222" customFormat="false" ht="13.8" hidden="false" customHeight="false" outlineLevel="0" collapsed="false">
      <c r="A222" s="27" t="n">
        <v>214</v>
      </c>
      <c r="B222" s="28" t="n">
        <f aca="false">IF($A222&lt;=$C$3*12,$A222,"")</f>
        <v>214</v>
      </c>
      <c r="C222" s="29" t="n">
        <f aca="false">IF($A222&lt;=$C$3*12,$E$3,"")</f>
        <v>1747.49840207314</v>
      </c>
      <c r="D222" s="29" t="n">
        <f aca="false">IF($A222&lt;=$C$3*12,F221*C$2/12,"")</f>
        <v>724.00428114712</v>
      </c>
      <c r="E222" s="29" t="n">
        <f aca="false">IF($A222&lt;=$C$3*12,$C222-$D222,"")</f>
        <v>1023.49412092602</v>
      </c>
      <c r="F222" s="29" t="n">
        <f aca="false">IF($A222&lt;=$C$3*12,$F221-$E222,"")</f>
        <v>197560.537279427</v>
      </c>
    </row>
    <row r="223" customFormat="false" ht="13.8" hidden="false" customHeight="false" outlineLevel="0" collapsed="false">
      <c r="A223" s="27" t="n">
        <v>215</v>
      </c>
      <c r="B223" s="28" t="n">
        <f aca="false">IF($A223&lt;=$C$3*12,$A223,"")</f>
        <v>215</v>
      </c>
      <c r="C223" s="29" t="n">
        <f aca="false">IF($A223&lt;=$C$3*12,$E$3,"")</f>
        <v>1747.49840207314</v>
      </c>
      <c r="D223" s="29" t="n">
        <f aca="false">IF($A223&lt;=$C$3*12,F222*C$2/12,"")</f>
        <v>720.272792164578</v>
      </c>
      <c r="E223" s="29" t="n">
        <f aca="false">IF($A223&lt;=$C$3*12,$C223-$D223,"")</f>
        <v>1027.22560990856</v>
      </c>
      <c r="F223" s="29" t="n">
        <f aca="false">IF($A223&lt;=$C$3*12,$F222-$E223,"")</f>
        <v>196533.311669519</v>
      </c>
    </row>
    <row r="224" customFormat="false" ht="13.8" hidden="false" customHeight="false" outlineLevel="0" collapsed="false">
      <c r="A224" s="27" t="n">
        <v>216</v>
      </c>
      <c r="B224" s="28" t="n">
        <f aca="false">IF($A224&lt;=$C$3*12,$A224,"")</f>
        <v>216</v>
      </c>
      <c r="C224" s="29" t="n">
        <f aca="false">IF($A224&lt;=$C$3*12,$E$3,"")</f>
        <v>1747.49840207314</v>
      </c>
      <c r="D224" s="29" t="n">
        <f aca="false">IF($A224&lt;=$C$3*12,F223*C$2/12,"")</f>
        <v>716.52769879512</v>
      </c>
      <c r="E224" s="29" t="n">
        <f aca="false">IF($A224&lt;=$C$3*12,$C224-$D224,"")</f>
        <v>1030.97070327802</v>
      </c>
      <c r="F224" s="29" t="n">
        <f aca="false">IF($A224&lt;=$C$3*12,$F223-$E224,"")</f>
        <v>195502.34096624</v>
      </c>
    </row>
    <row r="225" customFormat="false" ht="13.8" hidden="false" customHeight="false" outlineLevel="0" collapsed="false">
      <c r="A225" s="27" t="n">
        <v>217</v>
      </c>
      <c r="B225" s="28" t="n">
        <f aca="false">IF($A225&lt;=$C$3*12,$A225,"")</f>
        <v>217</v>
      </c>
      <c r="C225" s="29" t="n">
        <f aca="false">IF($A225&lt;=$C$3*12,$E$3,"")</f>
        <v>1747.49840207314</v>
      </c>
      <c r="D225" s="29" t="n">
        <f aca="false">IF($A225&lt;=$C$3*12,F224*C$2/12,"")</f>
        <v>712.768951439418</v>
      </c>
      <c r="E225" s="29" t="n">
        <f aca="false">IF($A225&lt;=$C$3*12,$C225-$D225,"")</f>
        <v>1034.72945063372</v>
      </c>
      <c r="F225" s="29" t="n">
        <f aca="false">IF($A225&lt;=$C$3*12,$F224-$E225,"")</f>
        <v>194467.611515607</v>
      </c>
    </row>
    <row r="226" customFormat="false" ht="13.8" hidden="false" customHeight="false" outlineLevel="0" collapsed="false">
      <c r="A226" s="27" t="n">
        <v>218</v>
      </c>
      <c r="B226" s="28" t="n">
        <f aca="false">IF($A226&lt;=$C$3*12,$A226,"")</f>
        <v>218</v>
      </c>
      <c r="C226" s="29" t="n">
        <f aca="false">IF($A226&lt;=$C$3*12,$E$3,"")</f>
        <v>1747.49840207314</v>
      </c>
      <c r="D226" s="29" t="n">
        <f aca="false">IF($A226&lt;=$C$3*12,F225*C$2/12,"")</f>
        <v>708.996500317316</v>
      </c>
      <c r="E226" s="29" t="n">
        <f aca="false">IF($A226&lt;=$C$3*12,$C226-$D226,"")</f>
        <v>1038.50190175582</v>
      </c>
      <c r="F226" s="29" t="n">
        <f aca="false">IF($A226&lt;=$C$3*12,$F225-$E226,"")</f>
        <v>193429.109613851</v>
      </c>
    </row>
    <row r="227" customFormat="false" ht="13.8" hidden="false" customHeight="false" outlineLevel="0" collapsed="false">
      <c r="A227" s="27" t="n">
        <v>219</v>
      </c>
      <c r="B227" s="28" t="n">
        <f aca="false">IF($A227&lt;=$C$3*12,$A227,"")</f>
        <v>219</v>
      </c>
      <c r="C227" s="29" t="n">
        <f aca="false">IF($A227&lt;=$C$3*12,$E$3,"")</f>
        <v>1747.49840207314</v>
      </c>
      <c r="D227" s="29" t="n">
        <f aca="false">IF($A227&lt;=$C$3*12,F226*C$2/12,"")</f>
        <v>705.210295467165</v>
      </c>
      <c r="E227" s="29" t="n">
        <f aca="false">IF($A227&lt;=$C$3*12,$C227-$D227,"")</f>
        <v>1042.28810660597</v>
      </c>
      <c r="F227" s="29" t="n">
        <f aca="false">IF($A227&lt;=$C$3*12,$F226-$E227,"")</f>
        <v>192386.821507245</v>
      </c>
    </row>
    <row r="228" customFormat="false" ht="13.8" hidden="false" customHeight="false" outlineLevel="0" collapsed="false">
      <c r="A228" s="27" t="n">
        <v>220</v>
      </c>
      <c r="B228" s="28" t="n">
        <f aca="false">IF($A228&lt;=$C$3*12,$A228,"")</f>
        <v>220</v>
      </c>
      <c r="C228" s="29" t="n">
        <f aca="false">IF($A228&lt;=$C$3*12,$E$3,"")</f>
        <v>1747.49840207314</v>
      </c>
      <c r="D228" s="29" t="n">
        <f aca="false">IF($A228&lt;=$C$3*12,F227*C$2/12,"")</f>
        <v>701.410286745164</v>
      </c>
      <c r="E228" s="29" t="n">
        <f aca="false">IF($A228&lt;=$C$3*12,$C228-$D228,"")</f>
        <v>1046.08811532797</v>
      </c>
      <c r="F228" s="29" t="n">
        <f aca="false">IF($A228&lt;=$C$3*12,$F227-$E228,"")</f>
        <v>191340.733391917</v>
      </c>
    </row>
    <row r="229" customFormat="false" ht="13.8" hidden="false" customHeight="false" outlineLevel="0" collapsed="false">
      <c r="A229" s="27" t="n">
        <v>221</v>
      </c>
      <c r="B229" s="28" t="n">
        <f aca="false">IF($A229&lt;=$C$3*12,$A229,"")</f>
        <v>221</v>
      </c>
      <c r="C229" s="29" t="n">
        <f aca="false">IF($A229&lt;=$C$3*12,$E$3,"")</f>
        <v>1747.49840207314</v>
      </c>
      <c r="D229" s="29" t="n">
        <f aca="false">IF($A229&lt;=$C$3*12,F228*C$2/12,"")</f>
        <v>697.596423824697</v>
      </c>
      <c r="E229" s="29" t="n">
        <f aca="false">IF($A229&lt;=$C$3*12,$C229-$D229,"")</f>
        <v>1049.90197824844</v>
      </c>
      <c r="F229" s="29" t="n">
        <f aca="false">IF($A229&lt;=$C$3*12,$F228-$E229,"")</f>
        <v>190290.831413669</v>
      </c>
    </row>
    <row r="230" customFormat="false" ht="13.8" hidden="false" customHeight="false" outlineLevel="0" collapsed="false">
      <c r="A230" s="27" t="n">
        <v>222</v>
      </c>
      <c r="B230" s="28" t="n">
        <f aca="false">IF($A230&lt;=$C$3*12,$A230,"")</f>
        <v>222</v>
      </c>
      <c r="C230" s="29" t="n">
        <f aca="false">IF($A230&lt;=$C$3*12,$E$3,"")</f>
        <v>1747.49840207314</v>
      </c>
      <c r="D230" s="29" t="n">
        <f aca="false">IF($A230&lt;=$C$3*12,F229*C$2/12,"")</f>
        <v>693.768656195667</v>
      </c>
      <c r="E230" s="29" t="n">
        <f aca="false">IF($A230&lt;=$C$3*12,$C230-$D230,"")</f>
        <v>1053.72974587747</v>
      </c>
      <c r="F230" s="29" t="n">
        <f aca="false">IF($A230&lt;=$C$3*12,$F229-$E230,"")</f>
        <v>189237.101667791</v>
      </c>
    </row>
    <row r="231" customFormat="false" ht="13.8" hidden="false" customHeight="false" outlineLevel="0" collapsed="false">
      <c r="A231" s="27" t="n">
        <v>223</v>
      </c>
      <c r="B231" s="28" t="n">
        <f aca="false">IF($A231&lt;=$C$3*12,$A231,"")</f>
        <v>223</v>
      </c>
      <c r="C231" s="29" t="n">
        <f aca="false">IF($A231&lt;=$C$3*12,$E$3,"")</f>
        <v>1747.49840207314</v>
      </c>
      <c r="D231" s="29" t="n">
        <f aca="false">IF($A231&lt;=$C$3*12,F230*C$2/12,"")</f>
        <v>689.926933163822</v>
      </c>
      <c r="E231" s="29" t="n">
        <f aca="false">IF($A231&lt;=$C$3*12,$C231-$D231,"")</f>
        <v>1057.57146890931</v>
      </c>
      <c r="F231" s="29" t="n">
        <f aca="false">IF($A231&lt;=$C$3*12,$F230-$E231,"")</f>
        <v>188179.530198882</v>
      </c>
    </row>
    <row r="232" customFormat="false" ht="13.8" hidden="false" customHeight="false" outlineLevel="0" collapsed="false">
      <c r="A232" s="27" t="n">
        <v>224</v>
      </c>
      <c r="B232" s="28" t="n">
        <f aca="false">IF($A232&lt;=$C$3*12,$A232,"")</f>
        <v>224</v>
      </c>
      <c r="C232" s="29" t="n">
        <f aca="false">IF($A232&lt;=$C$3*12,$E$3,"")</f>
        <v>1747.49840207314</v>
      </c>
      <c r="D232" s="29" t="n">
        <f aca="false">IF($A232&lt;=$C$3*12,F231*C$2/12,"")</f>
        <v>686.07120385009</v>
      </c>
      <c r="E232" s="29" t="n">
        <f aca="false">IF($A232&lt;=$C$3*12,$C232-$D232,"")</f>
        <v>1061.42719822305</v>
      </c>
      <c r="F232" s="29" t="n">
        <f aca="false">IF($A232&lt;=$C$3*12,$F231-$E232,"")</f>
        <v>187118.103000659</v>
      </c>
    </row>
    <row r="233" customFormat="false" ht="13.8" hidden="false" customHeight="false" outlineLevel="0" collapsed="false">
      <c r="A233" s="27" t="n">
        <v>225</v>
      </c>
      <c r="B233" s="28" t="n">
        <f aca="false">IF($A233&lt;=$C$3*12,$A233,"")</f>
        <v>225</v>
      </c>
      <c r="C233" s="29" t="n">
        <f aca="false">IF($A233&lt;=$C$3*12,$E$3,"")</f>
        <v>1747.49840207314</v>
      </c>
      <c r="D233" s="29" t="n">
        <f aca="false">IF($A233&lt;=$C$3*12,F232*C$2/12,"")</f>
        <v>682.201417189902</v>
      </c>
      <c r="E233" s="29" t="n">
        <f aca="false">IF($A233&lt;=$C$3*12,$C233-$D233,"")</f>
        <v>1065.29698488323</v>
      </c>
      <c r="F233" s="29" t="n">
        <f aca="false">IF($A233&lt;=$C$3*12,$F232-$E233,"")</f>
        <v>186052.806015776</v>
      </c>
    </row>
    <row r="234" customFormat="false" ht="13.8" hidden="false" customHeight="false" outlineLevel="0" collapsed="false">
      <c r="A234" s="27" t="n">
        <v>226</v>
      </c>
      <c r="B234" s="28" t="n">
        <f aca="false">IF($A234&lt;=$C$3*12,$A234,"")</f>
        <v>226</v>
      </c>
      <c r="C234" s="29" t="n">
        <f aca="false">IF($A234&lt;=$C$3*12,$E$3,"")</f>
        <v>1747.49840207314</v>
      </c>
      <c r="D234" s="29" t="n">
        <f aca="false">IF($A234&lt;=$C$3*12,F233*C$2/12,"")</f>
        <v>678.317521932515</v>
      </c>
      <c r="E234" s="29" t="n">
        <f aca="false">IF($A234&lt;=$C$3*12,$C234-$D234,"")</f>
        <v>1069.18088014062</v>
      </c>
      <c r="F234" s="29" t="n">
        <f aca="false">IF($A234&lt;=$C$3*12,$F233-$E234,"")</f>
        <v>184983.625135635</v>
      </c>
    </row>
    <row r="235" customFormat="false" ht="13.8" hidden="false" customHeight="false" outlineLevel="0" collapsed="false">
      <c r="A235" s="27" t="n">
        <v>227</v>
      </c>
      <c r="B235" s="28" t="n">
        <f aca="false">IF($A235&lt;=$C$3*12,$A235,"")</f>
        <v>227</v>
      </c>
      <c r="C235" s="29" t="n">
        <f aca="false">IF($A235&lt;=$C$3*12,$E$3,"")</f>
        <v>1747.49840207314</v>
      </c>
      <c r="D235" s="29" t="n">
        <f aca="false">IF($A235&lt;=$C$3*12,F234*C$2/12,"")</f>
        <v>674.419466640336</v>
      </c>
      <c r="E235" s="29" t="n">
        <f aca="false">IF($A235&lt;=$C$3*12,$C235-$D235,"")</f>
        <v>1073.0789354328</v>
      </c>
      <c r="F235" s="29" t="n">
        <f aca="false">IF($A235&lt;=$C$3*12,$F234-$E235,"")</f>
        <v>183910.546200202</v>
      </c>
    </row>
    <row r="236" customFormat="false" ht="13.8" hidden="false" customHeight="false" outlineLevel="0" collapsed="false">
      <c r="A236" s="27" t="n">
        <v>228</v>
      </c>
      <c r="B236" s="28" t="n">
        <f aca="false">IF($A236&lt;=$C$3*12,$A236,"")</f>
        <v>228</v>
      </c>
      <c r="C236" s="29" t="n">
        <f aca="false">IF($A236&lt;=$C$3*12,$E$3,"")</f>
        <v>1747.49840207314</v>
      </c>
      <c r="D236" s="29" t="n">
        <f aca="false">IF($A236&lt;=$C$3*12,F235*C$2/12,"")</f>
        <v>670.507199688237</v>
      </c>
      <c r="E236" s="29" t="n">
        <f aca="false">IF($A236&lt;=$C$3*12,$C236-$D236,"")</f>
        <v>1076.9912023849</v>
      </c>
      <c r="F236" s="29" t="n">
        <f aca="false">IF($A236&lt;=$C$3*12,$F235-$E236,"")</f>
        <v>182833.554997817</v>
      </c>
    </row>
    <row r="237" customFormat="false" ht="13.8" hidden="false" customHeight="false" outlineLevel="0" collapsed="false">
      <c r="A237" s="27" t="n">
        <v>229</v>
      </c>
      <c r="B237" s="28" t="n">
        <f aca="false">IF($A237&lt;=$C$3*12,$A237,"")</f>
        <v>229</v>
      </c>
      <c r="C237" s="29" t="n">
        <f aca="false">IF($A237&lt;=$C$3*12,$E$3,"")</f>
        <v>1747.49840207314</v>
      </c>
      <c r="D237" s="29" t="n">
        <f aca="false">IF($A237&lt;=$C$3*12,F236*C$2/12,"")</f>
        <v>666.580669262875</v>
      </c>
      <c r="E237" s="29" t="n">
        <f aca="false">IF($A237&lt;=$C$3*12,$C237-$D237,"")</f>
        <v>1080.91773281026</v>
      </c>
      <c r="F237" s="29" t="n">
        <f aca="false">IF($A237&lt;=$C$3*12,$F236-$E237,"")</f>
        <v>181752.637265007</v>
      </c>
    </row>
    <row r="238" customFormat="false" ht="13.8" hidden="false" customHeight="false" outlineLevel="0" collapsed="false">
      <c r="A238" s="27" t="n">
        <v>230</v>
      </c>
      <c r="B238" s="28" t="n">
        <f aca="false">IF($A238&lt;=$C$3*12,$A238,"")</f>
        <v>230</v>
      </c>
      <c r="C238" s="29" t="n">
        <f aca="false">IF($A238&lt;=$C$3*12,$E$3,"")</f>
        <v>1747.49840207314</v>
      </c>
      <c r="D238" s="29" t="n">
        <f aca="false">IF($A238&lt;=$C$3*12,F237*C$2/12,"")</f>
        <v>662.639823362004</v>
      </c>
      <c r="E238" s="29" t="n">
        <f aca="false">IF($A238&lt;=$C$3*12,$C238-$D238,"")</f>
        <v>1084.85857871113</v>
      </c>
      <c r="F238" s="29" t="n">
        <f aca="false">IF($A238&lt;=$C$3*12,$F237-$E238,"")</f>
        <v>180667.778686296</v>
      </c>
    </row>
    <row r="239" customFormat="false" ht="13.8" hidden="false" customHeight="false" outlineLevel="0" collapsed="false">
      <c r="A239" s="27" t="n">
        <v>231</v>
      </c>
      <c r="B239" s="28" t="n">
        <f aca="false">IF($A239&lt;=$C$3*12,$A239,"")</f>
        <v>231</v>
      </c>
      <c r="C239" s="29" t="n">
        <f aca="false">IF($A239&lt;=$C$3*12,$E$3,"")</f>
        <v>1747.49840207314</v>
      </c>
      <c r="D239" s="29" t="n">
        <f aca="false">IF($A239&lt;=$C$3*12,F238*C$2/12,"")</f>
        <v>658.684609793787</v>
      </c>
      <c r="E239" s="29" t="n">
        <f aca="false">IF($A239&lt;=$C$3*12,$C239-$D239,"")</f>
        <v>1088.81379227935</v>
      </c>
      <c r="F239" s="29" t="n">
        <f aca="false">IF($A239&lt;=$C$3*12,$F238-$E239,"")</f>
        <v>179578.964894016</v>
      </c>
    </row>
    <row r="240" customFormat="false" ht="13.8" hidden="false" customHeight="false" outlineLevel="0" collapsed="false">
      <c r="A240" s="27" t="n">
        <v>232</v>
      </c>
      <c r="B240" s="28" t="n">
        <f aca="false">IF($A240&lt;=$C$3*12,$A240,"")</f>
        <v>232</v>
      </c>
      <c r="C240" s="29" t="n">
        <f aca="false">IF($A240&lt;=$C$3*12,$E$3,"")</f>
        <v>1747.49840207314</v>
      </c>
      <c r="D240" s="29" t="n">
        <f aca="false">IF($A240&lt;=$C$3*12,F239*C$2/12,"")</f>
        <v>654.714976176102</v>
      </c>
      <c r="E240" s="29" t="n">
        <f aca="false">IF($A240&lt;=$C$3*12,$C240-$D240,"")</f>
        <v>1092.78342589703</v>
      </c>
      <c r="F240" s="29" t="n">
        <f aca="false">IF($A240&lt;=$C$3*12,$F239-$E240,"")</f>
        <v>178486.181468119</v>
      </c>
    </row>
    <row r="241" customFormat="false" ht="13.8" hidden="false" customHeight="false" outlineLevel="0" collapsed="false">
      <c r="A241" s="27" t="n">
        <v>233</v>
      </c>
      <c r="B241" s="28" t="n">
        <f aca="false">IF($A241&lt;=$C$3*12,$A241,"")</f>
        <v>233</v>
      </c>
      <c r="C241" s="29" t="n">
        <f aca="false">IF($A241&lt;=$C$3*12,$E$3,"")</f>
        <v>1747.49840207314</v>
      </c>
      <c r="D241" s="29" t="n">
        <f aca="false">IF($A241&lt;=$C$3*12,F240*C$2/12,"")</f>
        <v>650.730869935852</v>
      </c>
      <c r="E241" s="29" t="n">
        <f aca="false">IF($A241&lt;=$C$3*12,$C241-$D241,"")</f>
        <v>1096.76753213728</v>
      </c>
      <c r="F241" s="29" t="n">
        <f aca="false">IF($A241&lt;=$C$3*12,$F240-$E241,"")</f>
        <v>177389.413935982</v>
      </c>
    </row>
    <row r="242" customFormat="false" ht="13.8" hidden="false" customHeight="false" outlineLevel="0" collapsed="false">
      <c r="A242" s="27" t="n">
        <v>234</v>
      </c>
      <c r="B242" s="28" t="n">
        <f aca="false">IF($A242&lt;=$C$3*12,$A242,"")</f>
        <v>234</v>
      </c>
      <c r="C242" s="29" t="n">
        <f aca="false">IF($A242&lt;=$C$3*12,$E$3,"")</f>
        <v>1747.49840207314</v>
      </c>
      <c r="D242" s="29" t="n">
        <f aca="false">IF($A242&lt;=$C$3*12,F241*C$2/12,"")</f>
        <v>646.732238308268</v>
      </c>
      <c r="E242" s="29" t="n">
        <f aca="false">IF($A242&lt;=$C$3*12,$C242-$D242,"")</f>
        <v>1100.76616376487</v>
      </c>
      <c r="F242" s="29" t="n">
        <f aca="false">IF($A242&lt;=$C$3*12,$F241-$E242,"")</f>
        <v>176288.647772217</v>
      </c>
    </row>
    <row r="243" customFormat="false" ht="13.8" hidden="false" customHeight="false" outlineLevel="0" collapsed="false">
      <c r="A243" s="27" t="n">
        <v>235</v>
      </c>
      <c r="B243" s="28" t="n">
        <f aca="false">IF($A243&lt;=$C$3*12,$A243,"")</f>
        <v>235</v>
      </c>
      <c r="C243" s="29" t="n">
        <f aca="false">IF($A243&lt;=$C$3*12,$E$3,"")</f>
        <v>1747.49840207314</v>
      </c>
      <c r="D243" s="29" t="n">
        <f aca="false">IF($A243&lt;=$C$3*12,F242*C$2/12,"")</f>
        <v>642.719028336209</v>
      </c>
      <c r="E243" s="29" t="n">
        <f aca="false">IF($A243&lt;=$C$3*12,$C243-$D243,"")</f>
        <v>1104.77937373693</v>
      </c>
      <c r="F243" s="29" t="n">
        <f aca="false">IF($A243&lt;=$C$3*12,$F242-$E243,"")</f>
        <v>175183.86839848</v>
      </c>
    </row>
    <row r="244" customFormat="false" ht="13.8" hidden="false" customHeight="false" outlineLevel="0" collapsed="false">
      <c r="A244" s="27" t="n">
        <v>236</v>
      </c>
      <c r="B244" s="28" t="n">
        <f aca="false">IF($A244&lt;=$C$3*12,$A244,"")</f>
        <v>236</v>
      </c>
      <c r="C244" s="29" t="n">
        <f aca="false">IF($A244&lt;=$C$3*12,$E$3,"")</f>
        <v>1747.49840207314</v>
      </c>
      <c r="D244" s="29" t="n">
        <f aca="false">IF($A244&lt;=$C$3*12,F243*C$2/12,"")</f>
        <v>638.69118686946</v>
      </c>
      <c r="E244" s="29" t="n">
        <f aca="false">IF($A244&lt;=$C$3*12,$C244-$D244,"")</f>
        <v>1108.80721520368</v>
      </c>
      <c r="F244" s="29" t="n">
        <f aca="false">IF($A244&lt;=$C$3*12,$F243-$E244,"")</f>
        <v>174075.061183277</v>
      </c>
    </row>
    <row r="245" customFormat="false" ht="13.8" hidden="false" customHeight="false" outlineLevel="0" collapsed="false">
      <c r="A245" s="27" t="n">
        <v>237</v>
      </c>
      <c r="B245" s="28" t="n">
        <f aca="false">IF($A245&lt;=$C$3*12,$A245,"")</f>
        <v>237</v>
      </c>
      <c r="C245" s="29" t="n">
        <f aca="false">IF($A245&lt;=$C$3*12,$E$3,"")</f>
        <v>1747.49840207314</v>
      </c>
      <c r="D245" s="29" t="n">
        <f aca="false">IF($A245&lt;=$C$3*12,F244*C$2/12,"")</f>
        <v>634.64866056403</v>
      </c>
      <c r="E245" s="29" t="n">
        <f aca="false">IF($A245&lt;=$C$3*12,$C245-$D245,"")</f>
        <v>1112.84974150911</v>
      </c>
      <c r="F245" s="29" t="n">
        <f aca="false">IF($A245&lt;=$C$3*12,$F244-$E245,"")</f>
        <v>172962.211441768</v>
      </c>
    </row>
    <row r="246" customFormat="false" ht="13.8" hidden="false" customHeight="false" outlineLevel="0" collapsed="false">
      <c r="A246" s="27" t="n">
        <v>238</v>
      </c>
      <c r="B246" s="28" t="n">
        <f aca="false">IF($A246&lt;=$C$3*12,$A246,"")</f>
        <v>238</v>
      </c>
      <c r="C246" s="29" t="n">
        <f aca="false">IF($A246&lt;=$C$3*12,$E$3,"")</f>
        <v>1747.49840207314</v>
      </c>
      <c r="D246" s="29" t="n">
        <f aca="false">IF($A246&lt;=$C$3*12,F245*C$2/12,"")</f>
        <v>630.591395881444</v>
      </c>
      <c r="E246" s="29" t="n">
        <f aca="false">IF($A246&lt;=$C$3*12,$C246-$D246,"")</f>
        <v>1116.90700619169</v>
      </c>
      <c r="F246" s="29" t="n">
        <f aca="false">IF($A246&lt;=$C$3*12,$F245-$E246,"")</f>
        <v>171845.304435576</v>
      </c>
    </row>
    <row r="247" customFormat="false" ht="13.8" hidden="false" customHeight="false" outlineLevel="0" collapsed="false">
      <c r="A247" s="27" t="n">
        <v>239</v>
      </c>
      <c r="B247" s="28" t="n">
        <f aca="false">IF($A247&lt;=$C$3*12,$A247,"")</f>
        <v>239</v>
      </c>
      <c r="C247" s="29" t="n">
        <f aca="false">IF($A247&lt;=$C$3*12,$E$3,"")</f>
        <v>1747.49840207314</v>
      </c>
      <c r="D247" s="29" t="n">
        <f aca="false">IF($A247&lt;=$C$3*12,F246*C$2/12,"")</f>
        <v>626.519339088037</v>
      </c>
      <c r="E247" s="29" t="n">
        <f aca="false">IF($A247&lt;=$C$3*12,$C247-$D247,"")</f>
        <v>1120.9790629851</v>
      </c>
      <c r="F247" s="29" t="n">
        <f aca="false">IF($A247&lt;=$C$3*12,$F246-$E247,"")</f>
        <v>170724.325372591</v>
      </c>
    </row>
    <row r="248" customFormat="false" ht="13.8" hidden="false" customHeight="false" outlineLevel="0" collapsed="false">
      <c r="A248" s="27" t="n">
        <v>240</v>
      </c>
      <c r="B248" s="28" t="n">
        <f aca="false">IF($A248&lt;=$C$3*12,$A248,"")</f>
        <v>240</v>
      </c>
      <c r="C248" s="29" t="n">
        <f aca="false">IF($A248&lt;=$C$3*12,$E$3,"")</f>
        <v>1747.49840207314</v>
      </c>
      <c r="D248" s="29" t="n">
        <f aca="false">IF($A248&lt;=$C$3*12,F247*C$2/12,"")</f>
        <v>622.432436254237</v>
      </c>
      <c r="E248" s="29" t="n">
        <f aca="false">IF($A248&lt;=$C$3*12,$C248-$D248,"")</f>
        <v>1125.0659658189</v>
      </c>
      <c r="F248" s="29" t="n">
        <f aca="false">IF($A248&lt;=$C$3*12,$F247-$E248,"")</f>
        <v>169599.259406772</v>
      </c>
      <c r="H248" s="30" t="s">
        <v>22</v>
      </c>
      <c r="I248" s="29" t="n">
        <f aca="false">PV($C$2/12,$C$3*12-$A248,-$E$3,0,0)</f>
        <v>169599.259406772</v>
      </c>
    </row>
    <row r="249" customFormat="false" ht="13.8" hidden="false" customHeight="false" outlineLevel="0" collapsed="false">
      <c r="A249" s="27" t="n">
        <v>241</v>
      </c>
      <c r="B249" s="28" t="n">
        <f aca="false">IF($A249&lt;=$C$3*12,$A249,"")</f>
        <v>241</v>
      </c>
      <c r="C249" s="29" t="n">
        <f aca="false">IF($A249&lt;=$C$3*12,$E$3,"")</f>
        <v>1747.49840207314</v>
      </c>
      <c r="D249" s="29" t="n">
        <f aca="false">IF($A249&lt;=$C$3*12,F248*C$2/12,"")</f>
        <v>618.330633253856</v>
      </c>
      <c r="E249" s="29" t="n">
        <f aca="false">IF($A249&lt;=$C$3*12,$C249-$D249,"")</f>
        <v>1129.16776881928</v>
      </c>
      <c r="F249" s="29" t="n">
        <f aca="false">IF($A249&lt;=$C$3*12,$F248-$E249,"")</f>
        <v>168470.091637953</v>
      </c>
    </row>
    <row r="250" customFormat="false" ht="13.8" hidden="false" customHeight="false" outlineLevel="0" collapsed="false">
      <c r="A250" s="27" t="n">
        <v>242</v>
      </c>
      <c r="B250" s="28" t="n">
        <f aca="false">IF($A250&lt;=$C$3*12,$A250,"")</f>
        <v>242</v>
      </c>
      <c r="C250" s="29" t="n">
        <f aca="false">IF($A250&lt;=$C$3*12,$E$3,"")</f>
        <v>1747.49840207314</v>
      </c>
      <c r="D250" s="29" t="n">
        <f aca="false">IF($A250&lt;=$C$3*12,F249*C$2/12,"")</f>
        <v>614.213875763369</v>
      </c>
      <c r="E250" s="29" t="n">
        <f aca="false">IF($A250&lt;=$C$3*12,$C250-$D250,"")</f>
        <v>1133.28452630977</v>
      </c>
      <c r="F250" s="29" t="n">
        <f aca="false">IF($A250&lt;=$C$3*12,$F249-$E250,"")</f>
        <v>167336.807111643</v>
      </c>
    </row>
    <row r="251" customFormat="false" ht="13.8" hidden="false" customHeight="false" outlineLevel="0" collapsed="false">
      <c r="A251" s="27" t="n">
        <v>243</v>
      </c>
      <c r="B251" s="28" t="n">
        <f aca="false">IF($A251&lt;=$C$3*12,$A251,"")</f>
        <v>243</v>
      </c>
      <c r="C251" s="29" t="n">
        <f aca="false">IF($A251&lt;=$C$3*12,$E$3,"")</f>
        <v>1747.49840207314</v>
      </c>
      <c r="D251" s="29" t="n">
        <f aca="false">IF($A251&lt;=$C$3*12,F250*C$2/12,"")</f>
        <v>610.082109261198</v>
      </c>
      <c r="E251" s="29" t="n">
        <f aca="false">IF($A251&lt;=$C$3*12,$C251-$D251,"")</f>
        <v>1137.41629281194</v>
      </c>
      <c r="F251" s="29" t="n">
        <f aca="false">IF($A251&lt;=$C$3*12,$F250-$E251,"")</f>
        <v>166199.390818831</v>
      </c>
    </row>
    <row r="252" customFormat="false" ht="13.8" hidden="false" customHeight="false" outlineLevel="0" collapsed="false">
      <c r="A252" s="27" t="n">
        <v>244</v>
      </c>
      <c r="B252" s="28" t="n">
        <f aca="false">IF($A252&lt;=$C$3*12,$A252,"")</f>
        <v>244</v>
      </c>
      <c r="C252" s="29" t="n">
        <f aca="false">IF($A252&lt;=$C$3*12,$E$3,"")</f>
        <v>1747.49840207314</v>
      </c>
      <c r="D252" s="29" t="n">
        <f aca="false">IF($A252&lt;=$C$3*12,F251*C$2/12,"")</f>
        <v>605.935279026988</v>
      </c>
      <c r="E252" s="29" t="n">
        <f aca="false">IF($A252&lt;=$C$3*12,$C252-$D252,"")</f>
        <v>1141.56312304615</v>
      </c>
      <c r="F252" s="29" t="n">
        <f aca="false">IF($A252&lt;=$C$3*12,$F251-$E252,"")</f>
        <v>165057.827695785</v>
      </c>
    </row>
    <row r="253" customFormat="false" ht="13.8" hidden="false" customHeight="false" outlineLevel="0" collapsed="false">
      <c r="A253" s="27" t="n">
        <v>245</v>
      </c>
      <c r="B253" s="28" t="n">
        <f aca="false">IF($A253&lt;=$C$3*12,$A253,"")</f>
        <v>245</v>
      </c>
      <c r="C253" s="29" t="n">
        <f aca="false">IF($A253&lt;=$C$3*12,$E$3,"")</f>
        <v>1747.49840207314</v>
      </c>
      <c r="D253" s="29" t="n">
        <f aca="false">IF($A253&lt;=$C$3*12,F252*C$2/12,"")</f>
        <v>601.773330140882</v>
      </c>
      <c r="E253" s="29" t="n">
        <f aca="false">IF($A253&lt;=$C$3*12,$C253-$D253,"")</f>
        <v>1145.72507193225</v>
      </c>
      <c r="F253" s="29" t="n">
        <f aca="false">IF($A253&lt;=$C$3*12,$F252-$E253,"")</f>
        <v>163912.102623852</v>
      </c>
    </row>
    <row r="254" customFormat="false" ht="13.8" hidden="false" customHeight="false" outlineLevel="0" collapsed="false">
      <c r="A254" s="27" t="n">
        <v>246</v>
      </c>
      <c r="B254" s="28" t="n">
        <f aca="false">IF($A254&lt;=$C$3*12,$A254,"")</f>
        <v>246</v>
      </c>
      <c r="C254" s="29" t="n">
        <f aca="false">IF($A254&lt;=$C$3*12,$E$3,"")</f>
        <v>1747.49840207314</v>
      </c>
      <c r="D254" s="29" t="n">
        <f aca="false">IF($A254&lt;=$C$3*12,F253*C$2/12,"")</f>
        <v>597.596207482795</v>
      </c>
      <c r="E254" s="29" t="n">
        <f aca="false">IF($A254&lt;=$C$3*12,$C254-$D254,"")</f>
        <v>1149.90219459034</v>
      </c>
      <c r="F254" s="29" t="n">
        <f aca="false">IF($A254&lt;=$C$3*12,$F253-$E254,"")</f>
        <v>162762.200429262</v>
      </c>
    </row>
    <row r="255" customFormat="false" ht="13.8" hidden="false" customHeight="false" outlineLevel="0" collapsed="false">
      <c r="A255" s="27" t="n">
        <v>247</v>
      </c>
      <c r="B255" s="28" t="n">
        <f aca="false">IF($A255&lt;=$C$3*12,$A255,"")</f>
        <v>247</v>
      </c>
      <c r="C255" s="29" t="n">
        <f aca="false">IF($A255&lt;=$C$3*12,$E$3,"")</f>
        <v>1747.49840207314</v>
      </c>
      <c r="D255" s="29" t="n">
        <f aca="false">IF($A255&lt;=$C$3*12,F254*C$2/12,"")</f>
        <v>593.403855731685</v>
      </c>
      <c r="E255" s="29" t="n">
        <f aca="false">IF($A255&lt;=$C$3*12,$C255-$D255,"")</f>
        <v>1154.09454634145</v>
      </c>
      <c r="F255" s="29" t="n">
        <f aca="false">IF($A255&lt;=$C$3*12,$F254-$E255,"")</f>
        <v>161608.105882921</v>
      </c>
    </row>
    <row r="256" customFormat="false" ht="13.8" hidden="false" customHeight="false" outlineLevel="0" collapsed="false">
      <c r="A256" s="27" t="n">
        <v>248</v>
      </c>
      <c r="B256" s="28" t="n">
        <f aca="false">IF($A256&lt;=$C$3*12,$A256,"")</f>
        <v>248</v>
      </c>
      <c r="C256" s="29" t="n">
        <f aca="false">IF($A256&lt;=$C$3*12,$E$3,"")</f>
        <v>1747.49840207314</v>
      </c>
      <c r="D256" s="29" t="n">
        <f aca="false">IF($A256&lt;=$C$3*12,F255*C$2/12,"")</f>
        <v>589.196219364815</v>
      </c>
      <c r="E256" s="29" t="n">
        <f aca="false">IF($A256&lt;=$C$3*12,$C256-$D256,"")</f>
        <v>1158.30218270832</v>
      </c>
      <c r="F256" s="29" t="n">
        <f aca="false">IF($A256&lt;=$C$3*12,$F255-$E256,"")</f>
        <v>160449.803700212</v>
      </c>
    </row>
    <row r="257" customFormat="false" ht="13.8" hidden="false" customHeight="false" outlineLevel="0" collapsed="false">
      <c r="A257" s="27" t="n">
        <v>249</v>
      </c>
      <c r="B257" s="28" t="n">
        <f aca="false">IF($A257&lt;=$C$3*12,$A257,"")</f>
        <v>249</v>
      </c>
      <c r="C257" s="29" t="n">
        <f aca="false">IF($A257&lt;=$C$3*12,$E$3,"")</f>
        <v>1747.49840207314</v>
      </c>
      <c r="D257" s="29" t="n">
        <f aca="false">IF($A257&lt;=$C$3*12,F256*C$2/12,"")</f>
        <v>584.973242657024</v>
      </c>
      <c r="E257" s="29" t="n">
        <f aca="false">IF($A257&lt;=$C$3*12,$C257-$D257,"")</f>
        <v>1162.52515941611</v>
      </c>
      <c r="F257" s="29" t="n">
        <f aca="false">IF($A257&lt;=$C$3*12,$F256-$E257,"")</f>
        <v>159287.278540796</v>
      </c>
    </row>
    <row r="258" customFormat="false" ht="13.8" hidden="false" customHeight="false" outlineLevel="0" collapsed="false">
      <c r="A258" s="27" t="n">
        <v>250</v>
      </c>
      <c r="B258" s="28" t="n">
        <f aca="false">IF($A258&lt;=$C$3*12,$A258,"")</f>
        <v>250</v>
      </c>
      <c r="C258" s="29" t="n">
        <f aca="false">IF($A258&lt;=$C$3*12,$E$3,"")</f>
        <v>1747.49840207314</v>
      </c>
      <c r="D258" s="29" t="n">
        <f aca="false">IF($A258&lt;=$C$3*12,F257*C$2/12,"")</f>
        <v>580.734869679986</v>
      </c>
      <c r="E258" s="29" t="n">
        <f aca="false">IF($A258&lt;=$C$3*12,$C258-$D258,"")</f>
        <v>1166.76353239315</v>
      </c>
      <c r="F258" s="29" t="n">
        <f aca="false">IF($A258&lt;=$C$3*12,$F257-$E258,"")</f>
        <v>158120.515008403</v>
      </c>
    </row>
    <row r="259" customFormat="false" ht="13.8" hidden="false" customHeight="false" outlineLevel="0" collapsed="false">
      <c r="A259" s="27" t="n">
        <v>251</v>
      </c>
      <c r="B259" s="28" t="n">
        <f aca="false">IF($A259&lt;=$C$3*12,$A259,"")</f>
        <v>251</v>
      </c>
      <c r="C259" s="29" t="n">
        <f aca="false">IF($A259&lt;=$C$3*12,$E$3,"")</f>
        <v>1747.49840207314</v>
      </c>
      <c r="D259" s="29" t="n">
        <f aca="false">IF($A259&lt;=$C$3*12,F258*C$2/12,"")</f>
        <v>576.48104430147</v>
      </c>
      <c r="E259" s="29" t="n">
        <f aca="false">IF($A259&lt;=$C$3*12,$C259-$D259,"")</f>
        <v>1171.01735777167</v>
      </c>
      <c r="F259" s="29" t="n">
        <f aca="false">IF($A259&lt;=$C$3*12,$F258-$E259,"")</f>
        <v>156949.497650631</v>
      </c>
    </row>
    <row r="260" customFormat="false" ht="13.8" hidden="false" customHeight="false" outlineLevel="0" collapsed="false">
      <c r="A260" s="27" t="n">
        <v>252</v>
      </c>
      <c r="B260" s="28" t="n">
        <f aca="false">IF($A260&lt;=$C$3*12,$A260,"")</f>
        <v>252</v>
      </c>
      <c r="C260" s="29" t="n">
        <f aca="false">IF($A260&lt;=$C$3*12,$E$3,"")</f>
        <v>1747.49840207314</v>
      </c>
      <c r="D260" s="29" t="n">
        <f aca="false">IF($A260&lt;=$C$3*12,F259*C$2/12,"")</f>
        <v>572.211710184594</v>
      </c>
      <c r="E260" s="29" t="n">
        <f aca="false">IF($A260&lt;=$C$3*12,$C260-$D260,"")</f>
        <v>1175.28669188854</v>
      </c>
      <c r="F260" s="29" t="n">
        <f aca="false">IF($A260&lt;=$C$3*12,$F259-$E260,"")</f>
        <v>155774.210958743</v>
      </c>
    </row>
    <row r="261" customFormat="false" ht="13.8" hidden="false" customHeight="false" outlineLevel="0" collapsed="false">
      <c r="A261" s="27" t="n">
        <v>253</v>
      </c>
      <c r="B261" s="28" t="n">
        <f aca="false">IF($A261&lt;=$C$3*12,$A261,"")</f>
        <v>253</v>
      </c>
      <c r="C261" s="29" t="n">
        <f aca="false">IF($A261&lt;=$C$3*12,$E$3,"")</f>
        <v>1747.49840207314</v>
      </c>
      <c r="D261" s="29" t="n">
        <f aca="false">IF($A261&lt;=$C$3*12,F260*C$2/12,"")</f>
        <v>567.926810787083</v>
      </c>
      <c r="E261" s="29" t="n">
        <f aca="false">IF($A261&lt;=$C$3*12,$C261-$D261,"")</f>
        <v>1179.57159128605</v>
      </c>
      <c r="F261" s="29" t="n">
        <f aca="false">IF($A261&lt;=$C$3*12,$F260-$E261,"")</f>
        <v>154594.639367457</v>
      </c>
    </row>
    <row r="262" customFormat="false" ht="13.8" hidden="false" customHeight="false" outlineLevel="0" collapsed="false">
      <c r="A262" s="27" t="n">
        <v>254</v>
      </c>
      <c r="B262" s="28" t="n">
        <f aca="false">IF($A262&lt;=$C$3*12,$A262,"")</f>
        <v>254</v>
      </c>
      <c r="C262" s="29" t="n">
        <f aca="false">IF($A262&lt;=$C$3*12,$E$3,"")</f>
        <v>1747.49840207314</v>
      </c>
      <c r="D262" s="29" t="n">
        <f aca="false">IF($A262&lt;=$C$3*12,F261*C$2/12,"")</f>
        <v>563.62628936052</v>
      </c>
      <c r="E262" s="29" t="n">
        <f aca="false">IF($A262&lt;=$C$3*12,$C262-$D262,"")</f>
        <v>1183.87211271262</v>
      </c>
      <c r="F262" s="29" t="n">
        <f aca="false">IF($A262&lt;=$C$3*12,$F261-$E262,"")</f>
        <v>153410.767254744</v>
      </c>
    </row>
    <row r="263" customFormat="false" ht="13.8" hidden="false" customHeight="false" outlineLevel="0" collapsed="false">
      <c r="A263" s="27" t="n">
        <v>255</v>
      </c>
      <c r="B263" s="28" t="n">
        <f aca="false">IF($A263&lt;=$C$3*12,$A263,"")</f>
        <v>255</v>
      </c>
      <c r="C263" s="29" t="n">
        <f aca="false">IF($A263&lt;=$C$3*12,$E$3,"")</f>
        <v>1747.49840207314</v>
      </c>
      <c r="D263" s="29" t="n">
        <f aca="false">IF($A263&lt;=$C$3*12,F262*C$2/12,"")</f>
        <v>559.310088949588</v>
      </c>
      <c r="E263" s="29" t="n">
        <f aca="false">IF($A263&lt;=$C$3*12,$C263-$D263,"")</f>
        <v>1188.18831312355</v>
      </c>
      <c r="F263" s="29" t="n">
        <f aca="false">IF($A263&lt;=$C$3*12,$F262-$E263,"")</f>
        <v>152222.578941621</v>
      </c>
    </row>
    <row r="264" customFormat="false" ht="13.8" hidden="false" customHeight="false" outlineLevel="0" collapsed="false">
      <c r="A264" s="27" t="n">
        <v>256</v>
      </c>
      <c r="B264" s="28" t="n">
        <f aca="false">IF($A264&lt;=$C$3*12,$A264,"")</f>
        <v>256</v>
      </c>
      <c r="C264" s="29" t="n">
        <f aca="false">IF($A264&lt;=$C$3*12,$E$3,"")</f>
        <v>1747.49840207314</v>
      </c>
      <c r="D264" s="29" t="n">
        <f aca="false">IF($A264&lt;=$C$3*12,F263*C$2/12,"")</f>
        <v>554.978152391325</v>
      </c>
      <c r="E264" s="29" t="n">
        <f aca="false">IF($A264&lt;=$C$3*12,$C264-$D264,"")</f>
        <v>1192.52024968181</v>
      </c>
      <c r="F264" s="29" t="n">
        <f aca="false">IF($A264&lt;=$C$3*12,$F263-$E264,"")</f>
        <v>151030.058691939</v>
      </c>
    </row>
    <row r="265" customFormat="false" ht="13.8" hidden="false" customHeight="false" outlineLevel="0" collapsed="false">
      <c r="A265" s="27" t="n">
        <v>257</v>
      </c>
      <c r="B265" s="28" t="n">
        <f aca="false">IF($A265&lt;=$C$3*12,$A265,"")</f>
        <v>257</v>
      </c>
      <c r="C265" s="29" t="n">
        <f aca="false">IF($A265&lt;=$C$3*12,$E$3,"")</f>
        <v>1747.49840207314</v>
      </c>
      <c r="D265" s="29" t="n">
        <f aca="false">IF($A265&lt;=$C$3*12,F264*C$2/12,"")</f>
        <v>550.63042231436</v>
      </c>
      <c r="E265" s="29" t="n">
        <f aca="false">IF($A265&lt;=$C$3*12,$C265-$D265,"")</f>
        <v>1196.86797975878</v>
      </c>
      <c r="F265" s="29" t="n">
        <f aca="false">IF($A265&lt;=$C$3*12,$F264-$E265,"")</f>
        <v>149833.19071218</v>
      </c>
    </row>
    <row r="266" customFormat="false" ht="13.8" hidden="false" customHeight="false" outlineLevel="0" collapsed="false">
      <c r="A266" s="27" t="n">
        <v>258</v>
      </c>
      <c r="B266" s="28" t="n">
        <f aca="false">IF($A266&lt;=$C$3*12,$A266,"")</f>
        <v>258</v>
      </c>
      <c r="C266" s="29" t="n">
        <f aca="false">IF($A266&lt;=$C$3*12,$E$3,"")</f>
        <v>1747.49840207314</v>
      </c>
      <c r="D266" s="29" t="n">
        <f aca="false">IF($A266&lt;=$C$3*12,F265*C$2/12,"")</f>
        <v>546.266841138157</v>
      </c>
      <c r="E266" s="29" t="n">
        <f aca="false">IF($A266&lt;=$C$3*12,$C266-$D266,"")</f>
        <v>1201.23156093498</v>
      </c>
      <c r="F266" s="29" t="n">
        <f aca="false">IF($A266&lt;=$C$3*12,$F265-$E266,"")</f>
        <v>148631.959151245</v>
      </c>
    </row>
    <row r="267" customFormat="false" ht="13.8" hidden="false" customHeight="false" outlineLevel="0" collapsed="false">
      <c r="A267" s="27" t="n">
        <v>259</v>
      </c>
      <c r="B267" s="28" t="n">
        <f aca="false">IF($A267&lt;=$C$3*12,$A267,"")</f>
        <v>259</v>
      </c>
      <c r="C267" s="29" t="n">
        <f aca="false">IF($A267&lt;=$C$3*12,$E$3,"")</f>
        <v>1747.49840207314</v>
      </c>
      <c r="D267" s="29" t="n">
        <f aca="false">IF($A267&lt;=$C$3*12,F266*C$2/12,"")</f>
        <v>541.887351072248</v>
      </c>
      <c r="E267" s="29" t="n">
        <f aca="false">IF($A267&lt;=$C$3*12,$C267-$D267,"")</f>
        <v>1205.61105100089</v>
      </c>
      <c r="F267" s="29" t="n">
        <f aca="false">IF($A267&lt;=$C$3*12,$F266-$E267,"")</f>
        <v>147426.348100244</v>
      </c>
    </row>
    <row r="268" customFormat="false" ht="13.8" hidden="false" customHeight="false" outlineLevel="0" collapsed="false">
      <c r="A268" s="27" t="n">
        <v>260</v>
      </c>
      <c r="B268" s="28" t="n">
        <f aca="false">IF($A268&lt;=$C$3*12,$A268,"")</f>
        <v>260</v>
      </c>
      <c r="C268" s="29" t="n">
        <f aca="false">IF($A268&lt;=$C$3*12,$E$3,"")</f>
        <v>1747.49840207314</v>
      </c>
      <c r="D268" s="29" t="n">
        <f aca="false">IF($A268&lt;=$C$3*12,F267*C$2/12,"")</f>
        <v>537.491894115474</v>
      </c>
      <c r="E268" s="29" t="n">
        <f aca="false">IF($A268&lt;=$C$3*12,$C268-$D268,"")</f>
        <v>1210.00650795766</v>
      </c>
      <c r="F268" s="29" t="n">
        <f aca="false">IF($A268&lt;=$C$3*12,$F267-$E268,"")</f>
        <v>146216.341592287</v>
      </c>
    </row>
    <row r="269" customFormat="false" ht="13.8" hidden="false" customHeight="false" outlineLevel="0" collapsed="false">
      <c r="A269" s="27" t="n">
        <v>261</v>
      </c>
      <c r="B269" s="28" t="n">
        <f aca="false">IF($A269&lt;=$C$3*12,$A269,"")</f>
        <v>261</v>
      </c>
      <c r="C269" s="29" t="n">
        <f aca="false">IF($A269&lt;=$C$3*12,$E$3,"")</f>
        <v>1747.49840207314</v>
      </c>
      <c r="D269" s="29" t="n">
        <f aca="false">IF($A269&lt;=$C$3*12,F268*C$2/12,"")</f>
        <v>533.080412055211</v>
      </c>
      <c r="E269" s="29" t="n">
        <f aca="false">IF($A269&lt;=$C$3*12,$C269-$D269,"")</f>
        <v>1214.41799001792</v>
      </c>
      <c r="F269" s="29" t="n">
        <f aca="false">IF($A269&lt;=$C$3*12,$F268-$E269,"")</f>
        <v>145001.923602269</v>
      </c>
    </row>
    <row r="270" customFormat="false" ht="13.8" hidden="false" customHeight="false" outlineLevel="0" collapsed="false">
      <c r="A270" s="27" t="n">
        <v>262</v>
      </c>
      <c r="B270" s="28" t="n">
        <f aca="false">IF($A270&lt;=$C$3*12,$A270,"")</f>
        <v>262</v>
      </c>
      <c r="C270" s="29" t="n">
        <f aca="false">IF($A270&lt;=$C$3*12,$E$3,"")</f>
        <v>1747.49840207314</v>
      </c>
      <c r="D270" s="29" t="n">
        <f aca="false">IF($A270&lt;=$C$3*12,F269*C$2/12,"")</f>
        <v>528.652846466605</v>
      </c>
      <c r="E270" s="29" t="n">
        <f aca="false">IF($A270&lt;=$C$3*12,$C270-$D270,"")</f>
        <v>1218.84555560653</v>
      </c>
      <c r="F270" s="29" t="n">
        <f aca="false">IF($A270&lt;=$C$3*12,$F269-$E270,"")</f>
        <v>143783.078046662</v>
      </c>
    </row>
    <row r="271" customFormat="false" ht="13.8" hidden="false" customHeight="false" outlineLevel="0" collapsed="false">
      <c r="A271" s="27" t="n">
        <v>263</v>
      </c>
      <c r="B271" s="28" t="n">
        <f aca="false">IF($A271&lt;=$C$3*12,$A271,"")</f>
        <v>263</v>
      </c>
      <c r="C271" s="29" t="n">
        <f aca="false">IF($A271&lt;=$C$3*12,$E$3,"")</f>
        <v>1747.49840207314</v>
      </c>
      <c r="D271" s="29" t="n">
        <f aca="false">IF($A271&lt;=$C$3*12,F270*C$2/12,"")</f>
        <v>524.209138711789</v>
      </c>
      <c r="E271" s="29" t="n">
        <f aca="false">IF($A271&lt;=$C$3*12,$C271-$D271,"")</f>
        <v>1223.28926336135</v>
      </c>
      <c r="F271" s="29" t="n">
        <f aca="false">IF($A271&lt;=$C$3*12,$F270-$E271,"")</f>
        <v>142559.788783301</v>
      </c>
    </row>
    <row r="272" customFormat="false" ht="13.8" hidden="false" customHeight="false" outlineLevel="0" collapsed="false">
      <c r="A272" s="27" t="n">
        <v>264</v>
      </c>
      <c r="B272" s="28" t="n">
        <f aca="false">IF($A272&lt;=$C$3*12,$A272,"")</f>
        <v>264</v>
      </c>
      <c r="C272" s="29" t="n">
        <f aca="false">IF($A272&lt;=$C$3*12,$E$3,"")</f>
        <v>1747.49840207314</v>
      </c>
      <c r="D272" s="29" t="n">
        <f aca="false">IF($A272&lt;=$C$3*12,F271*C$2/12,"")</f>
        <v>519.749229939117</v>
      </c>
      <c r="E272" s="29" t="n">
        <f aca="false">IF($A272&lt;=$C$3*12,$C272-$D272,"")</f>
        <v>1227.74917213402</v>
      </c>
      <c r="F272" s="29" t="n">
        <f aca="false">IF($A272&lt;=$C$3*12,$F271-$E272,"")</f>
        <v>141332.039611167</v>
      </c>
    </row>
    <row r="273" customFormat="false" ht="13.8" hidden="false" customHeight="false" outlineLevel="0" collapsed="false">
      <c r="A273" s="27" t="n">
        <v>265</v>
      </c>
      <c r="B273" s="28" t="n">
        <f aca="false">IF($A273&lt;=$C$3*12,$A273,"")</f>
        <v>265</v>
      </c>
      <c r="C273" s="29" t="n">
        <f aca="false">IF($A273&lt;=$C$3*12,$E$3,"")</f>
        <v>1747.49840207314</v>
      </c>
      <c r="D273" s="29" t="n">
        <f aca="false">IF($A273&lt;=$C$3*12,F272*C$2/12,"")</f>
        <v>515.273061082379</v>
      </c>
      <c r="E273" s="29" t="n">
        <f aca="false">IF($A273&lt;=$C$3*12,$C273-$D273,"")</f>
        <v>1232.22534099076</v>
      </c>
      <c r="F273" s="29" t="n">
        <f aca="false">IF($A273&lt;=$C$3*12,$F272-$E273,"")</f>
        <v>140099.814270176</v>
      </c>
    </row>
    <row r="274" customFormat="false" ht="13.8" hidden="false" customHeight="false" outlineLevel="0" collapsed="false">
      <c r="A274" s="27" t="n">
        <v>266</v>
      </c>
      <c r="B274" s="28" t="n">
        <f aca="false">IF($A274&lt;=$C$3*12,$A274,"")</f>
        <v>266</v>
      </c>
      <c r="C274" s="29" t="n">
        <f aca="false">IF($A274&lt;=$C$3*12,$E$3,"")</f>
        <v>1747.49840207314</v>
      </c>
      <c r="D274" s="29" t="n">
        <f aca="false">IF($A274&lt;=$C$3*12,F273*C$2/12,"")</f>
        <v>510.780572860017</v>
      </c>
      <c r="E274" s="29" t="n">
        <f aca="false">IF($A274&lt;=$C$3*12,$C274-$D274,"")</f>
        <v>1236.71782921312</v>
      </c>
      <c r="F274" s="29" t="n">
        <f aca="false">IF($A274&lt;=$C$3*12,$F273-$E274,"")</f>
        <v>138863.096440963</v>
      </c>
    </row>
    <row r="275" customFormat="false" ht="13.8" hidden="false" customHeight="false" outlineLevel="0" collapsed="false">
      <c r="A275" s="27" t="n">
        <v>267</v>
      </c>
      <c r="B275" s="28" t="n">
        <f aca="false">IF($A275&lt;=$C$3*12,$A275,"")</f>
        <v>267</v>
      </c>
      <c r="C275" s="29" t="n">
        <f aca="false">IF($A275&lt;=$C$3*12,$E$3,"")</f>
        <v>1747.49840207314</v>
      </c>
      <c r="D275" s="29" t="n">
        <f aca="false">IF($A275&lt;=$C$3*12,F274*C$2/12,"")</f>
        <v>506.271705774344</v>
      </c>
      <c r="E275" s="29" t="n">
        <f aca="false">IF($A275&lt;=$C$3*12,$C275-$D275,"")</f>
        <v>1241.22669629879</v>
      </c>
      <c r="F275" s="29" t="n">
        <f aca="false">IF($A275&lt;=$C$3*12,$F274-$E275,"")</f>
        <v>137621.869744664</v>
      </c>
    </row>
    <row r="276" customFormat="false" ht="13.8" hidden="false" customHeight="false" outlineLevel="0" collapsed="false">
      <c r="A276" s="27" t="n">
        <v>268</v>
      </c>
      <c r="B276" s="28" t="n">
        <f aca="false">IF($A276&lt;=$C$3*12,$A276,"")</f>
        <v>268</v>
      </c>
      <c r="C276" s="29" t="n">
        <f aca="false">IF($A276&lt;=$C$3*12,$E$3,"")</f>
        <v>1747.49840207314</v>
      </c>
      <c r="D276" s="29" t="n">
        <f aca="false">IF($A276&lt;=$C$3*12,F275*C$2/12,"")</f>
        <v>501.746400110755</v>
      </c>
      <c r="E276" s="29" t="n">
        <f aca="false">IF($A276&lt;=$C$3*12,$C276-$D276,"")</f>
        <v>1245.75200196238</v>
      </c>
      <c r="F276" s="29" t="n">
        <f aca="false">IF($A276&lt;=$C$3*12,$F275-$E276,"")</f>
        <v>136376.117742702</v>
      </c>
    </row>
    <row r="277" customFormat="false" ht="13.8" hidden="false" customHeight="false" outlineLevel="0" collapsed="false">
      <c r="A277" s="27" t="n">
        <v>269</v>
      </c>
      <c r="B277" s="28" t="n">
        <f aca="false">IF($A277&lt;=$C$3*12,$A277,"")</f>
        <v>269</v>
      </c>
      <c r="C277" s="29" t="n">
        <f aca="false">IF($A277&lt;=$C$3*12,$E$3,"")</f>
        <v>1747.49840207314</v>
      </c>
      <c r="D277" s="29" t="n">
        <f aca="false">IF($A277&lt;=$C$3*12,F276*C$2/12,"")</f>
        <v>497.204595936933</v>
      </c>
      <c r="E277" s="29" t="n">
        <f aca="false">IF($A277&lt;=$C$3*12,$C277-$D277,"")</f>
        <v>1250.2938061362</v>
      </c>
      <c r="F277" s="29" t="n">
        <f aca="false">IF($A277&lt;=$C$3*12,$F276-$E277,"")</f>
        <v>135125.823936566</v>
      </c>
    </row>
    <row r="278" customFormat="false" ht="13.8" hidden="false" customHeight="false" outlineLevel="0" collapsed="false">
      <c r="A278" s="27" t="n">
        <v>270</v>
      </c>
      <c r="B278" s="28" t="n">
        <f aca="false">IF($A278&lt;=$C$3*12,$A278,"")</f>
        <v>270</v>
      </c>
      <c r="C278" s="29" t="n">
        <f aca="false">IF($A278&lt;=$C$3*12,$E$3,"")</f>
        <v>1747.49840207314</v>
      </c>
      <c r="D278" s="29" t="n">
        <f aca="false">IF($A278&lt;=$C$3*12,F277*C$2/12,"")</f>
        <v>492.646233102062</v>
      </c>
      <c r="E278" s="29" t="n">
        <f aca="false">IF($A278&lt;=$C$3*12,$C278-$D278,"")</f>
        <v>1254.85216897107</v>
      </c>
      <c r="F278" s="29" t="n">
        <f aca="false">IF($A278&lt;=$C$3*12,$F277-$E278,"")</f>
        <v>133870.971767594</v>
      </c>
    </row>
    <row r="279" customFormat="false" ht="13.8" hidden="false" customHeight="false" outlineLevel="0" collapsed="false">
      <c r="A279" s="27" t="n">
        <v>271</v>
      </c>
      <c r="B279" s="28" t="n">
        <f aca="false">IF($A279&lt;=$C$3*12,$A279,"")</f>
        <v>271</v>
      </c>
      <c r="C279" s="29" t="n">
        <f aca="false">IF($A279&lt;=$C$3*12,$E$3,"")</f>
        <v>1747.49840207314</v>
      </c>
      <c r="D279" s="29" t="n">
        <f aca="false">IF($A279&lt;=$C$3*12,F278*C$2/12,"")</f>
        <v>488.071251236021</v>
      </c>
      <c r="E279" s="29" t="n">
        <f aca="false">IF($A279&lt;=$C$3*12,$C279-$D279,"")</f>
        <v>1259.42715083711</v>
      </c>
      <c r="F279" s="29" t="n">
        <f aca="false">IF($A279&lt;=$C$3*12,$F278-$E279,"")</f>
        <v>132611.544616757</v>
      </c>
    </row>
    <row r="280" customFormat="false" ht="13.8" hidden="false" customHeight="false" outlineLevel="0" collapsed="false">
      <c r="A280" s="27" t="n">
        <v>272</v>
      </c>
      <c r="B280" s="28" t="n">
        <f aca="false">IF($A280&lt;=$C$3*12,$A280,"")</f>
        <v>272</v>
      </c>
      <c r="C280" s="29" t="n">
        <f aca="false">IF($A280&lt;=$C$3*12,$E$3,"")</f>
        <v>1747.49840207314</v>
      </c>
      <c r="D280" s="29" t="n">
        <f aca="false">IF($A280&lt;=$C$3*12,F279*C$2/12,"")</f>
        <v>483.479589748594</v>
      </c>
      <c r="E280" s="29" t="n">
        <f aca="false">IF($A280&lt;=$C$3*12,$C280-$D280,"")</f>
        <v>1264.01881232454</v>
      </c>
      <c r="F280" s="29" t="n">
        <f aca="false">IF($A280&lt;=$C$3*12,$F279-$E280,"")</f>
        <v>131347.525804433</v>
      </c>
    </row>
    <row r="281" customFormat="false" ht="13.8" hidden="false" customHeight="false" outlineLevel="0" collapsed="false">
      <c r="A281" s="27" t="n">
        <v>273</v>
      </c>
      <c r="B281" s="28" t="n">
        <f aca="false">IF($A281&lt;=$C$3*12,$A281,"")</f>
        <v>273</v>
      </c>
      <c r="C281" s="29" t="n">
        <f aca="false">IF($A281&lt;=$C$3*12,$E$3,"")</f>
        <v>1747.49840207314</v>
      </c>
      <c r="D281" s="29" t="n">
        <f aca="false">IF($A281&lt;=$C$3*12,F280*C$2/12,"")</f>
        <v>478.871187828661</v>
      </c>
      <c r="E281" s="29" t="n">
        <f aca="false">IF($A281&lt;=$C$3*12,$C281-$D281,"")</f>
        <v>1268.62721424448</v>
      </c>
      <c r="F281" s="29" t="n">
        <f aca="false">IF($A281&lt;=$C$3*12,$F280-$E281,"")</f>
        <v>130078.898590188</v>
      </c>
    </row>
    <row r="282" customFormat="false" ht="13.8" hidden="false" customHeight="false" outlineLevel="0" collapsed="false">
      <c r="A282" s="27" t="n">
        <v>274</v>
      </c>
      <c r="B282" s="28" t="n">
        <f aca="false">IF($A282&lt;=$C$3*12,$A282,"")</f>
        <v>274</v>
      </c>
      <c r="C282" s="29" t="n">
        <f aca="false">IF($A282&lt;=$C$3*12,$E$3,"")</f>
        <v>1747.49840207314</v>
      </c>
      <c r="D282" s="29" t="n">
        <f aca="false">IF($A282&lt;=$C$3*12,F281*C$2/12,"")</f>
        <v>474.245984443395</v>
      </c>
      <c r="E282" s="29" t="n">
        <f aca="false">IF($A282&lt;=$C$3*12,$C282-$D282,"")</f>
        <v>1273.25241762974</v>
      </c>
      <c r="F282" s="29" t="n">
        <f aca="false">IF($A282&lt;=$C$3*12,$F281-$E282,"")</f>
        <v>128805.646172559</v>
      </c>
    </row>
    <row r="283" customFormat="false" ht="13.8" hidden="false" customHeight="false" outlineLevel="0" collapsed="false">
      <c r="A283" s="27" t="n">
        <v>275</v>
      </c>
      <c r="B283" s="28" t="n">
        <f aca="false">IF($A283&lt;=$C$3*12,$A283,"")</f>
        <v>275</v>
      </c>
      <c r="C283" s="29" t="n">
        <f aca="false">IF($A283&lt;=$C$3*12,$E$3,"")</f>
        <v>1747.49840207314</v>
      </c>
      <c r="D283" s="29" t="n">
        <f aca="false">IF($A283&lt;=$C$3*12,F282*C$2/12,"")</f>
        <v>469.603918337453</v>
      </c>
      <c r="E283" s="29" t="n">
        <f aca="false">IF($A283&lt;=$C$3*12,$C283-$D283,"")</f>
        <v>1277.89448373568</v>
      </c>
      <c r="F283" s="29" t="n">
        <f aca="false">IF($A283&lt;=$C$3*12,$F282-$E283,"")</f>
        <v>127527.751688823</v>
      </c>
    </row>
    <row r="284" customFormat="false" ht="13.8" hidden="false" customHeight="false" outlineLevel="0" collapsed="false">
      <c r="A284" s="27" t="n">
        <v>276</v>
      </c>
      <c r="B284" s="28" t="n">
        <f aca="false">IF($A284&lt;=$C$3*12,$A284,"")</f>
        <v>276</v>
      </c>
      <c r="C284" s="29" t="n">
        <f aca="false">IF($A284&lt;=$C$3*12,$E$3,"")</f>
        <v>1747.49840207314</v>
      </c>
      <c r="D284" s="29" t="n">
        <f aca="false">IF($A284&lt;=$C$3*12,F283*C$2/12,"")</f>
        <v>464.944928032167</v>
      </c>
      <c r="E284" s="29" t="n">
        <f aca="false">IF($A284&lt;=$C$3*12,$C284-$D284,"")</f>
        <v>1282.55347404097</v>
      </c>
      <c r="F284" s="29" t="n">
        <f aca="false">IF($A284&lt;=$C$3*12,$F283-$E284,"")</f>
        <v>126245.198214782</v>
      </c>
    </row>
    <row r="285" customFormat="false" ht="13.8" hidden="false" customHeight="false" outlineLevel="0" collapsed="false">
      <c r="A285" s="27" t="n">
        <v>277</v>
      </c>
      <c r="B285" s="28" t="n">
        <f aca="false">IF($A285&lt;=$C$3*12,$A285,"")</f>
        <v>277</v>
      </c>
      <c r="C285" s="29" t="n">
        <f aca="false">IF($A285&lt;=$C$3*12,$E$3,"")</f>
        <v>1747.49840207314</v>
      </c>
      <c r="D285" s="29" t="n">
        <f aca="false">IF($A285&lt;=$C$3*12,F284*C$2/12,"")</f>
        <v>460.268951824726</v>
      </c>
      <c r="E285" s="29" t="n">
        <f aca="false">IF($A285&lt;=$C$3*12,$C285-$D285,"")</f>
        <v>1287.22945024841</v>
      </c>
      <c r="F285" s="29" t="n">
        <f aca="false">IF($A285&lt;=$C$3*12,$F284-$E285,"")</f>
        <v>124957.968764534</v>
      </c>
    </row>
    <row r="286" customFormat="false" ht="13.8" hidden="false" customHeight="false" outlineLevel="0" collapsed="false">
      <c r="A286" s="27" t="n">
        <v>278</v>
      </c>
      <c r="B286" s="28" t="n">
        <f aca="false">IF($A286&lt;=$C$3*12,$A286,"")</f>
        <v>278</v>
      </c>
      <c r="C286" s="29" t="n">
        <f aca="false">IF($A286&lt;=$C$3*12,$E$3,"")</f>
        <v>1747.49840207314</v>
      </c>
      <c r="D286" s="29" t="n">
        <f aca="false">IF($A286&lt;=$C$3*12,F285*C$2/12,"")</f>
        <v>455.575927787362</v>
      </c>
      <c r="E286" s="29" t="n">
        <f aca="false">IF($A286&lt;=$C$3*12,$C286-$D286,"")</f>
        <v>1291.92247428577</v>
      </c>
      <c r="F286" s="29" t="n">
        <f aca="false">IF($A286&lt;=$C$3*12,$F285-$E286,"")</f>
        <v>123666.046290248</v>
      </c>
    </row>
    <row r="287" customFormat="false" ht="13.8" hidden="false" customHeight="false" outlineLevel="0" collapsed="false">
      <c r="A287" s="27" t="n">
        <v>279</v>
      </c>
      <c r="B287" s="28" t="n">
        <f aca="false">IF($A287&lt;=$C$3*12,$A287,"")</f>
        <v>279</v>
      </c>
      <c r="C287" s="29" t="n">
        <f aca="false">IF($A287&lt;=$C$3*12,$E$3,"")</f>
        <v>1747.49840207314</v>
      </c>
      <c r="D287" s="29" t="n">
        <f aca="false">IF($A287&lt;=$C$3*12,F286*C$2/12,"")</f>
        <v>450.865793766528</v>
      </c>
      <c r="E287" s="29" t="n">
        <f aca="false">IF($A287&lt;=$C$3*12,$C287-$D287,"")</f>
        <v>1296.63260830661</v>
      </c>
      <c r="F287" s="29" t="n">
        <f aca="false">IF($A287&lt;=$C$3*12,$F286-$E287,"")</f>
        <v>122369.413681941</v>
      </c>
    </row>
    <row r="288" customFormat="false" ht="13.8" hidden="false" customHeight="false" outlineLevel="0" collapsed="false">
      <c r="A288" s="27" t="n">
        <v>280</v>
      </c>
      <c r="B288" s="28" t="n">
        <f aca="false">IF($A288&lt;=$C$3*12,$A288,"")</f>
        <v>280</v>
      </c>
      <c r="C288" s="29" t="n">
        <f aca="false">IF($A288&lt;=$C$3*12,$E$3,"")</f>
        <v>1747.49840207314</v>
      </c>
      <c r="D288" s="29" t="n">
        <f aca="false">IF($A288&lt;=$C$3*12,F287*C$2/12,"")</f>
        <v>446.138487382077</v>
      </c>
      <c r="E288" s="29" t="n">
        <f aca="false">IF($A288&lt;=$C$3*12,$C288-$D288,"")</f>
        <v>1301.35991469106</v>
      </c>
      <c r="F288" s="29" t="n">
        <f aca="false">IF($A288&lt;=$C$3*12,$F287-$E288,"")</f>
        <v>121068.05376725</v>
      </c>
    </row>
    <row r="289" customFormat="false" ht="13.8" hidden="false" customHeight="false" outlineLevel="0" collapsed="false">
      <c r="A289" s="27" t="n">
        <v>281</v>
      </c>
      <c r="B289" s="28" t="n">
        <f aca="false">IF($A289&lt;=$C$3*12,$A289,"")</f>
        <v>281</v>
      </c>
      <c r="C289" s="29" t="n">
        <f aca="false">IF($A289&lt;=$C$3*12,$E$3,"")</f>
        <v>1747.49840207314</v>
      </c>
      <c r="D289" s="29" t="n">
        <f aca="false">IF($A289&lt;=$C$3*12,F288*C$2/12,"")</f>
        <v>441.393946026433</v>
      </c>
      <c r="E289" s="29" t="n">
        <f aca="false">IF($A289&lt;=$C$3*12,$C289-$D289,"")</f>
        <v>1306.1044560467</v>
      </c>
      <c r="F289" s="29" t="n">
        <f aca="false">IF($A289&lt;=$C$3*12,$F288-$E289,"")</f>
        <v>119761.949311203</v>
      </c>
    </row>
    <row r="290" customFormat="false" ht="13.8" hidden="false" customHeight="false" outlineLevel="0" collapsed="false">
      <c r="A290" s="27" t="n">
        <v>282</v>
      </c>
      <c r="B290" s="28" t="n">
        <f aca="false">IF($A290&lt;=$C$3*12,$A290,"")</f>
        <v>282</v>
      </c>
      <c r="C290" s="29" t="n">
        <f aca="false">IF($A290&lt;=$C$3*12,$E$3,"")</f>
        <v>1747.49840207314</v>
      </c>
      <c r="D290" s="29" t="n">
        <f aca="false">IF($A290&lt;=$C$3*12,F289*C$2/12,"")</f>
        <v>436.632106863762</v>
      </c>
      <c r="E290" s="29" t="n">
        <f aca="false">IF($A290&lt;=$C$3*12,$C290-$D290,"")</f>
        <v>1310.86629520937</v>
      </c>
      <c r="F290" s="29" t="n">
        <f aca="false">IF($A290&lt;=$C$3*12,$F289-$E290,"")</f>
        <v>118451.083015994</v>
      </c>
    </row>
    <row r="291" customFormat="false" ht="13.8" hidden="false" customHeight="false" outlineLevel="0" collapsed="false">
      <c r="A291" s="27" t="n">
        <v>283</v>
      </c>
      <c r="B291" s="28" t="n">
        <f aca="false">IF($A291&lt;=$C$3*12,$A291,"")</f>
        <v>283</v>
      </c>
      <c r="C291" s="29" t="n">
        <f aca="false">IF($A291&lt;=$C$3*12,$E$3,"")</f>
        <v>1747.49840207314</v>
      </c>
      <c r="D291" s="29" t="n">
        <f aca="false">IF($A291&lt;=$C$3*12,F290*C$2/12,"")</f>
        <v>431.852906829145</v>
      </c>
      <c r="E291" s="29" t="n">
        <f aca="false">IF($A291&lt;=$C$3*12,$C291-$D291,"")</f>
        <v>1315.64549524399</v>
      </c>
      <c r="F291" s="29" t="n">
        <f aca="false">IF($A291&lt;=$C$3*12,$F290-$E291,"")</f>
        <v>117135.43752075</v>
      </c>
    </row>
    <row r="292" customFormat="false" ht="13.8" hidden="false" customHeight="false" outlineLevel="0" collapsed="false">
      <c r="A292" s="27" t="n">
        <v>284</v>
      </c>
      <c r="B292" s="28" t="n">
        <f aca="false">IF($A292&lt;=$C$3*12,$A292,"")</f>
        <v>284</v>
      </c>
      <c r="C292" s="29" t="n">
        <f aca="false">IF($A292&lt;=$C$3*12,$E$3,"")</f>
        <v>1747.49840207314</v>
      </c>
      <c r="D292" s="29" t="n">
        <f aca="false">IF($A292&lt;=$C$3*12,F291*C$2/12,"")</f>
        <v>427.056282627734</v>
      </c>
      <c r="E292" s="29" t="n">
        <f aca="false">IF($A292&lt;=$C$3*12,$C292-$D292,"")</f>
        <v>1320.4421194454</v>
      </c>
      <c r="F292" s="29" t="n">
        <f aca="false">IF($A292&lt;=$C$3*12,$F291-$E292,"")</f>
        <v>115814.995401305</v>
      </c>
    </row>
    <row r="293" customFormat="false" ht="13.8" hidden="false" customHeight="false" outlineLevel="0" collapsed="false">
      <c r="A293" s="27" t="n">
        <v>285</v>
      </c>
      <c r="B293" s="28" t="n">
        <f aca="false">IF($A293&lt;=$C$3*12,$A293,"")</f>
        <v>285</v>
      </c>
      <c r="C293" s="29" t="n">
        <f aca="false">IF($A293&lt;=$C$3*12,$E$3,"")</f>
        <v>1747.49840207314</v>
      </c>
      <c r="D293" s="29" t="n">
        <f aca="false">IF($A293&lt;=$C$3*12,F292*C$2/12,"")</f>
        <v>422.242170733923</v>
      </c>
      <c r="E293" s="29" t="n">
        <f aca="false">IF($A293&lt;=$C$3*12,$C293-$D293,"")</f>
        <v>1325.25623133921</v>
      </c>
      <c r="F293" s="29" t="n">
        <f aca="false">IF($A293&lt;=$C$3*12,$F292-$E293,"")</f>
        <v>114489.739169965</v>
      </c>
    </row>
    <row r="294" customFormat="false" ht="13.8" hidden="false" customHeight="false" outlineLevel="0" collapsed="false">
      <c r="A294" s="27" t="n">
        <v>286</v>
      </c>
      <c r="B294" s="28" t="n">
        <f aca="false">IF($A294&lt;=$C$3*12,$A294,"")</f>
        <v>286</v>
      </c>
      <c r="C294" s="29" t="n">
        <f aca="false">IF($A294&lt;=$C$3*12,$E$3,"")</f>
        <v>1747.49840207314</v>
      </c>
      <c r="D294" s="29" t="n">
        <f aca="false">IF($A294&lt;=$C$3*12,F293*C$2/12,"")</f>
        <v>417.410507390499</v>
      </c>
      <c r="E294" s="29" t="n">
        <f aca="false">IF($A294&lt;=$C$3*12,$C294-$D294,"")</f>
        <v>1330.08789468264</v>
      </c>
      <c r="F294" s="29" t="n">
        <f aca="false">IF($A294&lt;=$C$3*12,$F293-$E294,"")</f>
        <v>113159.651275283</v>
      </c>
    </row>
    <row r="295" customFormat="false" ht="13.8" hidden="false" customHeight="false" outlineLevel="0" collapsed="false">
      <c r="A295" s="27" t="n">
        <v>287</v>
      </c>
      <c r="B295" s="28" t="n">
        <f aca="false">IF($A295&lt;=$C$3*12,$A295,"")</f>
        <v>287</v>
      </c>
      <c r="C295" s="29" t="n">
        <f aca="false">IF($A295&lt;=$C$3*12,$E$3,"")</f>
        <v>1747.49840207314</v>
      </c>
      <c r="D295" s="29" t="n">
        <f aca="false">IF($A295&lt;=$C$3*12,F294*C$2/12,"")</f>
        <v>412.561228607802</v>
      </c>
      <c r="E295" s="29" t="n">
        <f aca="false">IF($A295&lt;=$C$3*12,$C295-$D295,"")</f>
        <v>1334.93717346533</v>
      </c>
      <c r="F295" s="29" t="n">
        <f aca="false">IF($A295&lt;=$C$3*12,$F294-$E295,"")</f>
        <v>111824.714101817</v>
      </c>
    </row>
    <row r="296" customFormat="false" ht="13.8" hidden="false" customHeight="false" outlineLevel="0" collapsed="false">
      <c r="A296" s="27" t="n">
        <v>288</v>
      </c>
      <c r="B296" s="28" t="n">
        <f aca="false">IF($A296&lt;=$C$3*12,$A296,"")</f>
        <v>288</v>
      </c>
      <c r="C296" s="29" t="n">
        <f aca="false">IF($A296&lt;=$C$3*12,$E$3,"")</f>
        <v>1747.49840207314</v>
      </c>
      <c r="D296" s="29" t="n">
        <f aca="false">IF($A296&lt;=$C$3*12,F295*C$2/12,"")</f>
        <v>407.694270162876</v>
      </c>
      <c r="E296" s="29" t="n">
        <f aca="false">IF($A296&lt;=$C$3*12,$C296-$D296,"")</f>
        <v>1339.80413191026</v>
      </c>
      <c r="F296" s="29" t="n">
        <f aca="false">IF($A296&lt;=$C$3*12,$F295-$E296,"")</f>
        <v>110484.909969907</v>
      </c>
    </row>
    <row r="297" customFormat="false" ht="13.8" hidden="false" customHeight="false" outlineLevel="0" collapsed="false">
      <c r="A297" s="27" t="n">
        <v>289</v>
      </c>
      <c r="B297" s="28" t="n">
        <f aca="false">IF($A297&lt;=$C$3*12,$A297,"")</f>
        <v>289</v>
      </c>
      <c r="C297" s="29" t="n">
        <f aca="false">IF($A297&lt;=$C$3*12,$E$3,"")</f>
        <v>1747.49840207314</v>
      </c>
      <c r="D297" s="29" t="n">
        <f aca="false">IF($A297&lt;=$C$3*12,F296*C$2/12,"")</f>
        <v>402.80956759862</v>
      </c>
      <c r="E297" s="29" t="n">
        <f aca="false">IF($A297&lt;=$C$3*12,$C297-$D297,"")</f>
        <v>1344.68883447452</v>
      </c>
      <c r="F297" s="29" t="n">
        <f aca="false">IF($A297&lt;=$C$3*12,$F296-$E297,"")</f>
        <v>109140.221135433</v>
      </c>
    </row>
    <row r="298" customFormat="false" ht="13.8" hidden="false" customHeight="false" outlineLevel="0" collapsed="false">
      <c r="A298" s="27" t="n">
        <v>290</v>
      </c>
      <c r="B298" s="28" t="n">
        <f aca="false">IF($A298&lt;=$C$3*12,$A298,"")</f>
        <v>290</v>
      </c>
      <c r="C298" s="29" t="n">
        <f aca="false">IF($A298&lt;=$C$3*12,$E$3,"")</f>
        <v>1747.49840207314</v>
      </c>
      <c r="D298" s="29" t="n">
        <f aca="false">IF($A298&lt;=$C$3*12,F297*C$2/12,"")</f>
        <v>397.907056222931</v>
      </c>
      <c r="E298" s="29" t="n">
        <f aca="false">IF($A298&lt;=$C$3*12,$C298-$D298,"")</f>
        <v>1349.5913458502</v>
      </c>
      <c r="F298" s="29" t="n">
        <f aca="false">IF($A298&lt;=$C$3*12,$F297-$E298,"")</f>
        <v>107790.629789582</v>
      </c>
    </row>
    <row r="299" customFormat="false" ht="13.8" hidden="false" customHeight="false" outlineLevel="0" collapsed="false">
      <c r="A299" s="27" t="n">
        <v>291</v>
      </c>
      <c r="B299" s="28" t="n">
        <f aca="false">IF($A299&lt;=$C$3*12,$A299,"")</f>
        <v>291</v>
      </c>
      <c r="C299" s="29" t="n">
        <f aca="false">IF($A299&lt;=$C$3*12,$E$3,"")</f>
        <v>1747.49840207314</v>
      </c>
      <c r="D299" s="29" t="n">
        <f aca="false">IF($A299&lt;=$C$3*12,F298*C$2/12,"")</f>
        <v>392.986671107853</v>
      </c>
      <c r="E299" s="29" t="n">
        <f aca="false">IF($A299&lt;=$C$3*12,$C299-$D299,"")</f>
        <v>1354.51173096528</v>
      </c>
      <c r="F299" s="29" t="n">
        <f aca="false">IF($A299&lt;=$C$3*12,$F298-$E299,"")</f>
        <v>106436.118058617</v>
      </c>
    </row>
    <row r="300" customFormat="false" ht="13.8" hidden="false" customHeight="false" outlineLevel="0" collapsed="false">
      <c r="A300" s="27" t="n">
        <v>292</v>
      </c>
      <c r="B300" s="28" t="n">
        <f aca="false">IF($A300&lt;=$C$3*12,$A300,"")</f>
        <v>292</v>
      </c>
      <c r="C300" s="29" t="n">
        <f aca="false">IF($A300&lt;=$C$3*12,$E$3,"")</f>
        <v>1747.49840207314</v>
      </c>
      <c r="D300" s="29" t="n">
        <f aca="false">IF($A300&lt;=$C$3*12,F299*C$2/12,"")</f>
        <v>388.048347088708</v>
      </c>
      <c r="E300" s="29" t="n">
        <f aca="false">IF($A300&lt;=$C$3*12,$C300-$D300,"")</f>
        <v>1359.45005498443</v>
      </c>
      <c r="F300" s="29" t="n">
        <f aca="false">IF($A300&lt;=$C$3*12,$F299-$E300,"")</f>
        <v>105076.668003633</v>
      </c>
    </row>
    <row r="301" customFormat="false" ht="13.8" hidden="false" customHeight="false" outlineLevel="0" collapsed="false">
      <c r="A301" s="27" t="n">
        <v>293</v>
      </c>
      <c r="B301" s="28" t="n">
        <f aca="false">IF($A301&lt;=$C$3*12,$A301,"")</f>
        <v>293</v>
      </c>
      <c r="C301" s="29" t="n">
        <f aca="false">IF($A301&lt;=$C$3*12,$E$3,"")</f>
        <v>1747.49840207314</v>
      </c>
      <c r="D301" s="29" t="n">
        <f aca="false">IF($A301&lt;=$C$3*12,F300*C$2/12,"")</f>
        <v>383.092018763244</v>
      </c>
      <c r="E301" s="29" t="n">
        <f aca="false">IF($A301&lt;=$C$3*12,$C301-$D301,"")</f>
        <v>1364.40638330989</v>
      </c>
      <c r="F301" s="29" t="n">
        <f aca="false">IF($A301&lt;=$C$3*12,$F300-$E301,"")</f>
        <v>103712.261620323</v>
      </c>
    </row>
    <row r="302" customFormat="false" ht="13.8" hidden="false" customHeight="false" outlineLevel="0" collapsed="false">
      <c r="A302" s="27" t="n">
        <v>294</v>
      </c>
      <c r="B302" s="28" t="n">
        <f aca="false">IF($A302&lt;=$C$3*12,$A302,"")</f>
        <v>294</v>
      </c>
      <c r="C302" s="29" t="n">
        <f aca="false">IF($A302&lt;=$C$3*12,$E$3,"")</f>
        <v>1747.49840207314</v>
      </c>
      <c r="D302" s="29" t="n">
        <f aca="false">IF($A302&lt;=$C$3*12,F301*C$2/12,"")</f>
        <v>378.11762049076</v>
      </c>
      <c r="E302" s="29" t="n">
        <f aca="false">IF($A302&lt;=$C$3*12,$C302-$D302,"")</f>
        <v>1369.38078158238</v>
      </c>
      <c r="F302" s="29" t="n">
        <f aca="false">IF($A302&lt;=$C$3*12,$F301-$E302,"")</f>
        <v>102342.88083874</v>
      </c>
    </row>
    <row r="303" customFormat="false" ht="13.8" hidden="false" customHeight="false" outlineLevel="0" collapsed="false">
      <c r="A303" s="27" t="n">
        <v>295</v>
      </c>
      <c r="B303" s="28" t="n">
        <f aca="false">IF($A303&lt;=$C$3*12,$A303,"")</f>
        <v>295</v>
      </c>
      <c r="C303" s="29" t="n">
        <f aca="false">IF($A303&lt;=$C$3*12,$E$3,"")</f>
        <v>1747.49840207314</v>
      </c>
      <c r="D303" s="29" t="n">
        <f aca="false">IF($A303&lt;=$C$3*12,F302*C$2/12,"")</f>
        <v>373.125086391241</v>
      </c>
      <c r="E303" s="29" t="n">
        <f aca="false">IF($A303&lt;=$C$3*12,$C303-$D303,"")</f>
        <v>1374.3733156819</v>
      </c>
      <c r="F303" s="29" t="n">
        <f aca="false">IF($A303&lt;=$C$3*12,$F302-$E303,"")</f>
        <v>100968.507523059</v>
      </c>
    </row>
    <row r="304" customFormat="false" ht="13.8" hidden="false" customHeight="false" outlineLevel="0" collapsed="false">
      <c r="A304" s="27" t="n">
        <v>296</v>
      </c>
      <c r="B304" s="28" t="n">
        <f aca="false">IF($A304&lt;=$C$3*12,$A304,"")</f>
        <v>296</v>
      </c>
      <c r="C304" s="29" t="n">
        <f aca="false">IF($A304&lt;=$C$3*12,$E$3,"")</f>
        <v>1747.49840207314</v>
      </c>
      <c r="D304" s="29" t="n">
        <f aca="false">IF($A304&lt;=$C$3*12,F303*C$2/12,"")</f>
        <v>368.114350344484</v>
      </c>
      <c r="E304" s="29" t="n">
        <f aca="false">IF($A304&lt;=$C$3*12,$C304-$D304,"")</f>
        <v>1379.38405172865</v>
      </c>
      <c r="F304" s="29" t="n">
        <f aca="false">IF($A304&lt;=$C$3*12,$F303-$E304,"")</f>
        <v>99589.1234713299</v>
      </c>
    </row>
    <row r="305" customFormat="false" ht="13.8" hidden="false" customHeight="false" outlineLevel="0" collapsed="false">
      <c r="A305" s="27" t="n">
        <v>297</v>
      </c>
      <c r="B305" s="28" t="n">
        <f aca="false">IF($A305&lt;=$C$3*12,$A305,"")</f>
        <v>297</v>
      </c>
      <c r="C305" s="29" t="n">
        <f aca="false">IF($A305&lt;=$C$3*12,$E$3,"")</f>
        <v>1747.49840207314</v>
      </c>
      <c r="D305" s="29" t="n">
        <f aca="false">IF($A305&lt;=$C$3*12,F304*C$2/12,"")</f>
        <v>363.085345989224</v>
      </c>
      <c r="E305" s="29" t="n">
        <f aca="false">IF($A305&lt;=$C$3*12,$C305-$D305,"")</f>
        <v>1384.41305608391</v>
      </c>
      <c r="F305" s="29" t="n">
        <f aca="false">IF($A305&lt;=$C$3*12,$F304-$E305,"")</f>
        <v>98204.710415246</v>
      </c>
    </row>
    <row r="306" customFormat="false" ht="13.8" hidden="false" customHeight="false" outlineLevel="0" collapsed="false">
      <c r="A306" s="27" t="n">
        <v>298</v>
      </c>
      <c r="B306" s="28" t="n">
        <f aca="false">IF($A306&lt;=$C$3*12,$A306,"")</f>
        <v>298</v>
      </c>
      <c r="C306" s="29" t="n">
        <f aca="false">IF($A306&lt;=$C$3*12,$E$3,"")</f>
        <v>1747.49840207314</v>
      </c>
      <c r="D306" s="29" t="n">
        <f aca="false">IF($A306&lt;=$C$3*12,F305*C$2/12,"")</f>
        <v>358.038006722251</v>
      </c>
      <c r="E306" s="29" t="n">
        <f aca="false">IF($A306&lt;=$C$3*12,$C306-$D306,"")</f>
        <v>1389.46039535089</v>
      </c>
      <c r="F306" s="29" t="n">
        <f aca="false">IF($A306&lt;=$C$3*12,$F305-$E306,"")</f>
        <v>96815.2500198951</v>
      </c>
    </row>
    <row r="307" customFormat="false" ht="13.8" hidden="false" customHeight="false" outlineLevel="0" collapsed="false">
      <c r="A307" s="27" t="n">
        <v>299</v>
      </c>
      <c r="B307" s="28" t="n">
        <f aca="false">IF($A307&lt;=$C$3*12,$A307,"")</f>
        <v>299</v>
      </c>
      <c r="C307" s="29" t="n">
        <f aca="false">IF($A307&lt;=$C$3*12,$E$3,"")</f>
        <v>1747.49840207314</v>
      </c>
      <c r="D307" s="29" t="n">
        <f aca="false">IF($A307&lt;=$C$3*12,F306*C$2/12,"")</f>
        <v>352.972265697534</v>
      </c>
      <c r="E307" s="29" t="n">
        <f aca="false">IF($A307&lt;=$C$3*12,$C307-$D307,"")</f>
        <v>1394.5261363756</v>
      </c>
      <c r="F307" s="29" t="n">
        <f aca="false">IF($A307&lt;=$C$3*12,$F306-$E307,"")</f>
        <v>95420.7238835195</v>
      </c>
    </row>
    <row r="308" customFormat="false" ht="13.8" hidden="false" customHeight="false" outlineLevel="0" collapsed="false">
      <c r="A308" s="27" t="n">
        <v>300</v>
      </c>
      <c r="B308" s="28" t="n">
        <f aca="false">IF($A308&lt;=$C$3*12,$A308,"")</f>
        <v>300</v>
      </c>
      <c r="C308" s="29" t="n">
        <f aca="false">IF($A308&lt;=$C$3*12,$E$3,"")</f>
        <v>1747.49840207314</v>
      </c>
      <c r="D308" s="29" t="n">
        <f aca="false">IF($A308&lt;=$C$3*12,F307*C$2/12,"")</f>
        <v>347.888055825331</v>
      </c>
      <c r="E308" s="29" t="n">
        <f aca="false">IF($A308&lt;=$C$3*12,$C308-$D308,"")</f>
        <v>1399.6103462478</v>
      </c>
      <c r="F308" s="29" t="n">
        <f aca="false">IF($A308&lt;=$C$3*12,$F307-$E308,"")</f>
        <v>94021.1135372717</v>
      </c>
    </row>
    <row r="309" customFormat="false" ht="13.8" hidden="false" customHeight="false" outlineLevel="0" collapsed="false">
      <c r="A309" s="27" t="n">
        <v>301</v>
      </c>
      <c r="B309" s="28" t="n">
        <f aca="false">IF($A309&lt;=$C$3*12,$A309,"")</f>
        <v>301</v>
      </c>
      <c r="C309" s="29" t="n">
        <f aca="false">IF($A309&lt;=$C$3*12,$E$3,"")</f>
        <v>1747.49840207314</v>
      </c>
      <c r="D309" s="29" t="n">
        <f aca="false">IF($A309&lt;=$C$3*12,F308*C$2/12,"")</f>
        <v>342.785309771303</v>
      </c>
      <c r="E309" s="29" t="n">
        <f aca="false">IF($A309&lt;=$C$3*12,$C309-$D309,"")</f>
        <v>1404.71309230183</v>
      </c>
      <c r="F309" s="29" t="n">
        <f aca="false">IF($A309&lt;=$C$3*12,$F308-$E309,"")</f>
        <v>92616.4004449699</v>
      </c>
    </row>
    <row r="310" customFormat="false" ht="13.8" hidden="false" customHeight="false" outlineLevel="0" collapsed="false">
      <c r="A310" s="27" t="n">
        <v>302</v>
      </c>
      <c r="B310" s="28" t="n">
        <f aca="false">IF($A310&lt;=$C$3*12,$A310,"")</f>
        <v>302</v>
      </c>
      <c r="C310" s="29" t="n">
        <f aca="false">IF($A310&lt;=$C$3*12,$E$3,"")</f>
        <v>1747.49840207314</v>
      </c>
      <c r="D310" s="29" t="n">
        <f aca="false">IF($A310&lt;=$C$3*12,F309*C$2/12,"")</f>
        <v>337.663959955619</v>
      </c>
      <c r="E310" s="29" t="n">
        <f aca="false">IF($A310&lt;=$C$3*12,$C310-$D310,"")</f>
        <v>1409.83444211752</v>
      </c>
      <c r="F310" s="29" t="n">
        <f aca="false">IF($A310&lt;=$C$3*12,$F309-$E310,"")</f>
        <v>91206.5660028524</v>
      </c>
    </row>
    <row r="311" customFormat="false" ht="13.8" hidden="false" customHeight="false" outlineLevel="0" collapsed="false">
      <c r="A311" s="27" t="n">
        <v>303</v>
      </c>
      <c r="B311" s="28" t="n">
        <f aca="false">IF($A311&lt;=$C$3*12,$A311,"")</f>
        <v>303</v>
      </c>
      <c r="C311" s="29" t="n">
        <f aca="false">IF($A311&lt;=$C$3*12,$E$3,"")</f>
        <v>1747.49840207314</v>
      </c>
      <c r="D311" s="29" t="n">
        <f aca="false">IF($A311&lt;=$C$3*12,F310*C$2/12,"")</f>
        <v>332.523938552066</v>
      </c>
      <c r="E311" s="29" t="n">
        <f aca="false">IF($A311&lt;=$C$3*12,$C311-$D311,"")</f>
        <v>1414.97446352107</v>
      </c>
      <c r="F311" s="29" t="n">
        <f aca="false">IF($A311&lt;=$C$3*12,$F310-$E311,"")</f>
        <v>89791.5915393313</v>
      </c>
    </row>
    <row r="312" customFormat="false" ht="13.8" hidden="false" customHeight="false" outlineLevel="0" collapsed="false">
      <c r="A312" s="27" t="n">
        <v>304</v>
      </c>
      <c r="B312" s="28" t="n">
        <f aca="false">IF($A312&lt;=$C$3*12,$A312,"")</f>
        <v>304</v>
      </c>
      <c r="C312" s="29" t="n">
        <f aca="false">IF($A312&lt;=$C$3*12,$E$3,"")</f>
        <v>1747.49840207314</v>
      </c>
      <c r="D312" s="29" t="n">
        <f aca="false">IF($A312&lt;=$C$3*12,F311*C$2/12,"")</f>
        <v>327.365177487145</v>
      </c>
      <c r="E312" s="29" t="n">
        <f aca="false">IF($A312&lt;=$C$3*12,$C312-$D312,"")</f>
        <v>1420.13322458599</v>
      </c>
      <c r="F312" s="29" t="n">
        <f aca="false">IF($A312&lt;=$C$3*12,$F311-$E312,"")</f>
        <v>88371.4583147453</v>
      </c>
    </row>
    <row r="313" customFormat="false" ht="13.8" hidden="false" customHeight="false" outlineLevel="0" collapsed="false">
      <c r="A313" s="27" t="n">
        <v>305</v>
      </c>
      <c r="B313" s="28" t="n">
        <f aca="false">IF($A313&lt;=$C$3*12,$A313,"")</f>
        <v>305</v>
      </c>
      <c r="C313" s="29" t="n">
        <f aca="false">IF($A313&lt;=$C$3*12,$E$3,"")</f>
        <v>1747.49840207314</v>
      </c>
      <c r="D313" s="29" t="n">
        <f aca="false">IF($A313&lt;=$C$3*12,F312*C$2/12,"")</f>
        <v>322.187608439176</v>
      </c>
      <c r="E313" s="29" t="n">
        <f aca="false">IF($A313&lt;=$C$3*12,$C313-$D313,"")</f>
        <v>1425.31079363396</v>
      </c>
      <c r="F313" s="29" t="n">
        <f aca="false">IF($A313&lt;=$C$3*12,$F312-$E313,"")</f>
        <v>86946.1475211113</v>
      </c>
    </row>
    <row r="314" customFormat="false" ht="13.8" hidden="false" customHeight="false" outlineLevel="0" collapsed="false">
      <c r="A314" s="27" t="n">
        <v>306</v>
      </c>
      <c r="B314" s="28" t="n">
        <f aca="false">IF($A314&lt;=$C$3*12,$A314,"")</f>
        <v>306</v>
      </c>
      <c r="C314" s="29" t="n">
        <f aca="false">IF($A314&lt;=$C$3*12,$E$3,"")</f>
        <v>1747.49840207314</v>
      </c>
      <c r="D314" s="29" t="n">
        <f aca="false">IF($A314&lt;=$C$3*12,F313*C$2/12,"")</f>
        <v>316.991162837385</v>
      </c>
      <c r="E314" s="29" t="n">
        <f aca="false">IF($A314&lt;=$C$3*12,$C314-$D314,"")</f>
        <v>1430.50723923575</v>
      </c>
      <c r="F314" s="29" t="n">
        <f aca="false">IF($A314&lt;=$C$3*12,$F313-$E314,"")</f>
        <v>85515.6402818756</v>
      </c>
    </row>
    <row r="315" customFormat="false" ht="13.8" hidden="false" customHeight="false" outlineLevel="0" collapsed="false">
      <c r="A315" s="27" t="n">
        <v>307</v>
      </c>
      <c r="B315" s="28" t="n">
        <f aca="false">IF($A315&lt;=$C$3*12,$A315,"")</f>
        <v>307</v>
      </c>
      <c r="C315" s="29" t="n">
        <f aca="false">IF($A315&lt;=$C$3*12,$E$3,"")</f>
        <v>1747.49840207314</v>
      </c>
      <c r="D315" s="29" t="n">
        <f aca="false">IF($A315&lt;=$C$3*12,F314*C$2/12,"")</f>
        <v>311.775771861005</v>
      </c>
      <c r="E315" s="29" t="n">
        <f aca="false">IF($A315&lt;=$C$3*12,$C315-$D315,"")</f>
        <v>1435.72263021213</v>
      </c>
      <c r="F315" s="29" t="n">
        <f aca="false">IF($A315&lt;=$C$3*12,$F314-$E315,"")</f>
        <v>84079.9176516635</v>
      </c>
    </row>
    <row r="316" customFormat="false" ht="13.8" hidden="false" customHeight="false" outlineLevel="0" collapsed="false">
      <c r="A316" s="27" t="n">
        <v>308</v>
      </c>
      <c r="B316" s="28" t="n">
        <f aca="false">IF($A316&lt;=$C$3*12,$A316,"")</f>
        <v>308</v>
      </c>
      <c r="C316" s="29" t="n">
        <f aca="false">IF($A316&lt;=$C$3*12,$E$3,"")</f>
        <v>1747.49840207314</v>
      </c>
      <c r="D316" s="29" t="n">
        <f aca="false">IF($A316&lt;=$C$3*12,F315*C$2/12,"")</f>
        <v>306.541366438356</v>
      </c>
      <c r="E316" s="29" t="n">
        <f aca="false">IF($A316&lt;=$C$3*12,$C316-$D316,"")</f>
        <v>1440.95703563478</v>
      </c>
      <c r="F316" s="29" t="n">
        <f aca="false">IF($A316&lt;=$C$3*12,$F315-$E316,"")</f>
        <v>82638.9606160287</v>
      </c>
    </row>
    <row r="317" customFormat="false" ht="13.8" hidden="false" customHeight="false" outlineLevel="0" collapsed="false">
      <c r="A317" s="27" t="n">
        <v>309</v>
      </c>
      <c r="B317" s="28" t="n">
        <f aca="false">IF($A317&lt;=$C$3*12,$A317,"")</f>
        <v>309</v>
      </c>
      <c r="C317" s="29" t="n">
        <f aca="false">IF($A317&lt;=$C$3*12,$E$3,"")</f>
        <v>1747.49840207314</v>
      </c>
      <c r="D317" s="29" t="n">
        <f aca="false">IF($A317&lt;=$C$3*12,F316*C$2/12,"")</f>
        <v>301.287877245938</v>
      </c>
      <c r="E317" s="29" t="n">
        <f aca="false">IF($A317&lt;=$C$3*12,$C317-$D317,"")</f>
        <v>1446.2105248272</v>
      </c>
      <c r="F317" s="29" t="n">
        <f aca="false">IF($A317&lt;=$C$3*12,$F316-$E317,"")</f>
        <v>81192.7500912015</v>
      </c>
    </row>
    <row r="318" customFormat="false" ht="13.8" hidden="false" customHeight="false" outlineLevel="0" collapsed="false">
      <c r="A318" s="27" t="n">
        <v>310</v>
      </c>
      <c r="B318" s="28" t="n">
        <f aca="false">IF($A318&lt;=$C$3*12,$A318,"")</f>
        <v>310</v>
      </c>
      <c r="C318" s="29" t="n">
        <f aca="false">IF($A318&lt;=$C$3*12,$E$3,"")</f>
        <v>1747.49840207314</v>
      </c>
      <c r="D318" s="29" t="n">
        <f aca="false">IF($A318&lt;=$C$3*12,F317*C$2/12,"")</f>
        <v>296.015234707505</v>
      </c>
      <c r="E318" s="29" t="n">
        <f aca="false">IF($A318&lt;=$C$3*12,$C318-$D318,"")</f>
        <v>1451.48316736563</v>
      </c>
      <c r="F318" s="29" t="n">
        <f aca="false">IF($A318&lt;=$C$3*12,$F317-$E318,"")</f>
        <v>79741.2669238358</v>
      </c>
    </row>
    <row r="319" customFormat="false" ht="13.8" hidden="false" customHeight="false" outlineLevel="0" collapsed="false">
      <c r="A319" s="27" t="n">
        <v>311</v>
      </c>
      <c r="B319" s="28" t="n">
        <f aca="false">IF($A319&lt;=$C$3*12,$A319,"")</f>
        <v>311</v>
      </c>
      <c r="C319" s="29" t="n">
        <f aca="false">IF($A319&lt;=$C$3*12,$E$3,"")</f>
        <v>1747.49840207314</v>
      </c>
      <c r="D319" s="29" t="n">
        <f aca="false">IF($A319&lt;=$C$3*12,F318*C$2/12,"")</f>
        <v>290.723368993151</v>
      </c>
      <c r="E319" s="29" t="n">
        <f aca="false">IF($A319&lt;=$C$3*12,$C319-$D319,"")</f>
        <v>1456.77503307998</v>
      </c>
      <c r="F319" s="29" t="n">
        <f aca="false">IF($A319&lt;=$C$3*12,$F318-$E319,"")</f>
        <v>78284.4918907558</v>
      </c>
    </row>
    <row r="320" customFormat="false" ht="13.8" hidden="false" customHeight="false" outlineLevel="0" collapsed="false">
      <c r="A320" s="27" t="n">
        <v>312</v>
      </c>
      <c r="B320" s="28" t="n">
        <f aca="false">IF($A320&lt;=$C$3*12,$A320,"")</f>
        <v>312</v>
      </c>
      <c r="C320" s="29" t="n">
        <f aca="false">IF($A320&lt;=$C$3*12,$E$3,"")</f>
        <v>1747.49840207314</v>
      </c>
      <c r="D320" s="29" t="n">
        <f aca="false">IF($A320&lt;=$C$3*12,F319*C$2/12,"")</f>
        <v>285.412210018381</v>
      </c>
      <c r="E320" s="29" t="n">
        <f aca="false">IF($A320&lt;=$C$3*12,$C320-$D320,"")</f>
        <v>1462.08619205476</v>
      </c>
      <c r="F320" s="29" t="n">
        <f aca="false">IF($A320&lt;=$C$3*12,$F319-$E320,"")</f>
        <v>76822.4056987011</v>
      </c>
    </row>
    <row r="321" customFormat="false" ht="13.8" hidden="false" customHeight="false" outlineLevel="0" collapsed="false">
      <c r="A321" s="27" t="n">
        <v>313</v>
      </c>
      <c r="B321" s="28" t="n">
        <f aca="false">IF($A321&lt;=$C$3*12,$A321,"")</f>
        <v>313</v>
      </c>
      <c r="C321" s="29" t="n">
        <f aca="false">IF($A321&lt;=$C$3*12,$E$3,"")</f>
        <v>1747.49840207314</v>
      </c>
      <c r="D321" s="29" t="n">
        <f aca="false">IF($A321&lt;=$C$3*12,F320*C$2/12,"")</f>
        <v>280.081687443181</v>
      </c>
      <c r="E321" s="29" t="n">
        <f aca="false">IF($A321&lt;=$C$3*12,$C321-$D321,"")</f>
        <v>1467.41671462996</v>
      </c>
      <c r="F321" s="29" t="n">
        <f aca="false">IF($A321&lt;=$C$3*12,$F320-$E321,"")</f>
        <v>75354.9889840711</v>
      </c>
    </row>
    <row r="322" customFormat="false" ht="13.8" hidden="false" customHeight="false" outlineLevel="0" collapsed="false">
      <c r="A322" s="27" t="n">
        <v>314</v>
      </c>
      <c r="B322" s="28" t="n">
        <f aca="false">IF($A322&lt;=$C$3*12,$A322,"")</f>
        <v>314</v>
      </c>
      <c r="C322" s="29" t="n">
        <f aca="false">IF($A322&lt;=$C$3*12,$E$3,"")</f>
        <v>1747.49840207314</v>
      </c>
      <c r="D322" s="29" t="n">
        <f aca="false">IF($A322&lt;=$C$3*12,F321*C$2/12,"")</f>
        <v>274.731730671093</v>
      </c>
      <c r="E322" s="29" t="n">
        <f aca="false">IF($A322&lt;=$C$3*12,$C322-$D322,"")</f>
        <v>1472.76667140204</v>
      </c>
      <c r="F322" s="29" t="n">
        <f aca="false">IF($A322&lt;=$C$3*12,$F321-$E322,"")</f>
        <v>73882.2223126691</v>
      </c>
    </row>
    <row r="323" customFormat="false" ht="13.8" hidden="false" customHeight="false" outlineLevel="0" collapsed="false">
      <c r="A323" s="27" t="n">
        <v>315</v>
      </c>
      <c r="B323" s="28" t="n">
        <f aca="false">IF($A323&lt;=$C$3*12,$A323,"")</f>
        <v>315</v>
      </c>
      <c r="C323" s="29" t="n">
        <f aca="false">IF($A323&lt;=$C$3*12,$E$3,"")</f>
        <v>1747.49840207314</v>
      </c>
      <c r="D323" s="29" t="n">
        <f aca="false">IF($A323&lt;=$C$3*12,F322*C$2/12,"")</f>
        <v>269.362268848273</v>
      </c>
      <c r="E323" s="29" t="n">
        <f aca="false">IF($A323&lt;=$C$3*12,$C323-$D323,"")</f>
        <v>1478.13613322486</v>
      </c>
      <c r="F323" s="29" t="n">
        <f aca="false">IF($A323&lt;=$C$3*12,$F322-$E323,"")</f>
        <v>72404.0861794442</v>
      </c>
    </row>
    <row r="324" customFormat="false" ht="13.8" hidden="false" customHeight="false" outlineLevel="0" collapsed="false">
      <c r="A324" s="27" t="n">
        <v>316</v>
      </c>
      <c r="B324" s="28" t="n">
        <f aca="false">IF($A324&lt;=$C$3*12,$A324,"")</f>
        <v>316</v>
      </c>
      <c r="C324" s="29" t="n">
        <f aca="false">IF($A324&lt;=$C$3*12,$E$3,"")</f>
        <v>1747.49840207314</v>
      </c>
      <c r="D324" s="29" t="n">
        <f aca="false">IF($A324&lt;=$C$3*12,F323*C$2/12,"")</f>
        <v>263.973230862557</v>
      </c>
      <c r="E324" s="29" t="n">
        <f aca="false">IF($A324&lt;=$C$3*12,$C324-$D324,"")</f>
        <v>1483.52517121058</v>
      </c>
      <c r="F324" s="29" t="n">
        <f aca="false">IF($A324&lt;=$C$3*12,$F323-$E324,"")</f>
        <v>70920.5610082336</v>
      </c>
    </row>
    <row r="325" customFormat="false" ht="13.8" hidden="false" customHeight="false" outlineLevel="0" collapsed="false">
      <c r="A325" s="27" t="n">
        <v>317</v>
      </c>
      <c r="B325" s="28" t="n">
        <f aca="false">IF($A325&lt;=$C$3*12,$A325,"")</f>
        <v>317</v>
      </c>
      <c r="C325" s="29" t="n">
        <f aca="false">IF($A325&lt;=$C$3*12,$E$3,"")</f>
        <v>1747.49840207314</v>
      </c>
      <c r="D325" s="29" t="n">
        <f aca="false">IF($A325&lt;=$C$3*12,F324*C$2/12,"")</f>
        <v>258.564545342518</v>
      </c>
      <c r="E325" s="29" t="n">
        <f aca="false">IF($A325&lt;=$C$3*12,$C325-$D325,"")</f>
        <v>1488.93385673062</v>
      </c>
      <c r="F325" s="29" t="n">
        <f aca="false">IF($A325&lt;=$C$3*12,$F324-$E325,"")</f>
        <v>69431.627151503</v>
      </c>
    </row>
    <row r="326" customFormat="false" ht="13.8" hidden="false" customHeight="false" outlineLevel="0" collapsed="false">
      <c r="A326" s="27" t="n">
        <v>318</v>
      </c>
      <c r="B326" s="28" t="n">
        <f aca="false">IF($A326&lt;=$C$3*12,$A326,"")</f>
        <v>318</v>
      </c>
      <c r="C326" s="29" t="n">
        <f aca="false">IF($A326&lt;=$C$3*12,$E$3,"")</f>
        <v>1747.49840207314</v>
      </c>
      <c r="D326" s="29" t="n">
        <f aca="false">IF($A326&lt;=$C$3*12,F325*C$2/12,"")</f>
        <v>253.136140656521</v>
      </c>
      <c r="E326" s="29" t="n">
        <f aca="false">IF($A326&lt;=$C$3*12,$C326-$D326,"")</f>
        <v>1494.36226141661</v>
      </c>
      <c r="F326" s="29" t="n">
        <f aca="false">IF($A326&lt;=$C$3*12,$F325-$E326,"")</f>
        <v>67937.2648900864</v>
      </c>
    </row>
    <row r="327" customFormat="false" ht="13.8" hidden="false" customHeight="false" outlineLevel="0" collapsed="false">
      <c r="A327" s="27" t="n">
        <v>319</v>
      </c>
      <c r="B327" s="28" t="n">
        <f aca="false">IF($A327&lt;=$C$3*12,$A327,"")</f>
        <v>319</v>
      </c>
      <c r="C327" s="29" t="n">
        <f aca="false">IF($A327&lt;=$C$3*12,$E$3,"")</f>
        <v>1747.49840207314</v>
      </c>
      <c r="D327" s="29" t="n">
        <f aca="false">IF($A327&lt;=$C$3*12,F326*C$2/12,"")</f>
        <v>247.687944911773</v>
      </c>
      <c r="E327" s="29" t="n">
        <f aca="false">IF($A327&lt;=$C$3*12,$C327-$D327,"")</f>
        <v>1499.81045716136</v>
      </c>
      <c r="F327" s="29" t="n">
        <f aca="false">IF($A327&lt;=$C$3*12,$F326-$E327,"")</f>
        <v>66437.4544329251</v>
      </c>
    </row>
    <row r="328" customFormat="false" ht="13.8" hidden="false" customHeight="false" outlineLevel="0" collapsed="false">
      <c r="A328" s="27" t="n">
        <v>320</v>
      </c>
      <c r="B328" s="28" t="n">
        <f aca="false">IF($A328&lt;=$C$3*12,$A328,"")</f>
        <v>320</v>
      </c>
      <c r="C328" s="29" t="n">
        <f aca="false">IF($A328&lt;=$C$3*12,$E$3,"")</f>
        <v>1747.49840207314</v>
      </c>
      <c r="D328" s="29" t="n">
        <f aca="false">IF($A328&lt;=$C$3*12,F327*C$2/12,"")</f>
        <v>242.219885953373</v>
      </c>
      <c r="E328" s="29" t="n">
        <f aca="false">IF($A328&lt;=$C$3*12,$C328-$D328,"")</f>
        <v>1505.27851611976</v>
      </c>
      <c r="F328" s="29" t="n">
        <f aca="false">IF($A328&lt;=$C$3*12,$F327-$E328,"")</f>
        <v>64932.1759168053</v>
      </c>
    </row>
    <row r="329" customFormat="false" ht="13.8" hidden="false" customHeight="false" outlineLevel="0" collapsed="false">
      <c r="A329" s="27" t="n">
        <v>321</v>
      </c>
      <c r="B329" s="28" t="n">
        <f aca="false">IF($A329&lt;=$C$3*12,$A329,"")</f>
        <v>321</v>
      </c>
      <c r="C329" s="29" t="n">
        <f aca="false">IF($A329&lt;=$C$3*12,$E$3,"")</f>
        <v>1747.49840207314</v>
      </c>
      <c r="D329" s="29" t="n">
        <f aca="false">IF($A329&lt;=$C$3*12,F328*C$2/12,"")</f>
        <v>236.731891363353</v>
      </c>
      <c r="E329" s="29" t="n">
        <f aca="false">IF($A329&lt;=$C$3*12,$C329-$D329,"")</f>
        <v>1510.76651070978</v>
      </c>
      <c r="F329" s="29" t="n">
        <f aca="false">IF($A329&lt;=$C$3*12,$F328-$E329,"")</f>
        <v>63421.4094060955</v>
      </c>
    </row>
    <row r="330" customFormat="false" ht="13.8" hidden="false" customHeight="false" outlineLevel="0" collapsed="false">
      <c r="A330" s="27" t="n">
        <v>322</v>
      </c>
      <c r="B330" s="28" t="n">
        <f aca="false">IF($A330&lt;=$C$3*12,$A330,"")</f>
        <v>322</v>
      </c>
      <c r="C330" s="29" t="n">
        <f aca="false">IF($A330&lt;=$C$3*12,$E$3,"")</f>
        <v>1747.49840207314</v>
      </c>
      <c r="D330" s="29" t="n">
        <f aca="false">IF($A330&lt;=$C$3*12,F329*C$2/12,"")</f>
        <v>231.223888459723</v>
      </c>
      <c r="E330" s="29" t="n">
        <f aca="false">IF($A330&lt;=$C$3*12,$C330-$D330,"")</f>
        <v>1516.27451361341</v>
      </c>
      <c r="F330" s="29" t="n">
        <f aca="false">IF($A330&lt;=$C$3*12,$F329-$E330,"")</f>
        <v>61905.1348924821</v>
      </c>
    </row>
    <row r="331" customFormat="false" ht="13.8" hidden="false" customHeight="false" outlineLevel="0" collapsed="false">
      <c r="A331" s="27" t="n">
        <v>323</v>
      </c>
      <c r="B331" s="28" t="n">
        <f aca="false">IF($A331&lt;=$C$3*12,$A331,"")</f>
        <v>323</v>
      </c>
      <c r="C331" s="29" t="n">
        <f aca="false">IF($A331&lt;=$C$3*12,$E$3,"")</f>
        <v>1747.49840207314</v>
      </c>
      <c r="D331" s="29" t="n">
        <f aca="false">IF($A331&lt;=$C$3*12,F330*C$2/12,"")</f>
        <v>225.695804295508</v>
      </c>
      <c r="E331" s="29" t="n">
        <f aca="false">IF($A331&lt;=$C$3*12,$C331-$D331,"")</f>
        <v>1521.80259777763</v>
      </c>
      <c r="F331" s="29" t="n">
        <f aca="false">IF($A331&lt;=$C$3*12,$F330-$E331,"")</f>
        <v>60383.3322947045</v>
      </c>
    </row>
    <row r="332" customFormat="false" ht="13.8" hidden="false" customHeight="false" outlineLevel="0" collapsed="false">
      <c r="A332" s="27" t="n">
        <v>324</v>
      </c>
      <c r="B332" s="28" t="n">
        <f aca="false">IF($A332&lt;=$C$3*12,$A332,"")</f>
        <v>324</v>
      </c>
      <c r="C332" s="29" t="n">
        <f aca="false">IF($A332&lt;=$C$3*12,$E$3,"")</f>
        <v>1747.49840207314</v>
      </c>
      <c r="D332" s="29" t="n">
        <f aca="false">IF($A332&lt;=$C$3*12,F331*C$2/12,"")</f>
        <v>220.147565657777</v>
      </c>
      <c r="E332" s="29" t="n">
        <f aca="false">IF($A332&lt;=$C$3*12,$C332-$D332,"")</f>
        <v>1527.35083641536</v>
      </c>
      <c r="F332" s="29" t="n">
        <f aca="false">IF($A332&lt;=$C$3*12,$F331-$E332,"")</f>
        <v>58855.9814582891</v>
      </c>
    </row>
    <row r="333" customFormat="false" ht="13.8" hidden="false" customHeight="false" outlineLevel="0" collapsed="false">
      <c r="A333" s="27" t="n">
        <v>325</v>
      </c>
      <c r="B333" s="28" t="n">
        <f aca="false">IF($A333&lt;=$C$3*12,$A333,"")</f>
        <v>325</v>
      </c>
      <c r="C333" s="29" t="n">
        <f aca="false">IF($A333&lt;=$C$3*12,$E$3,"")</f>
        <v>1747.49840207314</v>
      </c>
      <c r="D333" s="29" t="n">
        <f aca="false">IF($A333&lt;=$C$3*12,F332*C$2/12,"")</f>
        <v>214.579099066679</v>
      </c>
      <c r="E333" s="29" t="n">
        <f aca="false">IF($A333&lt;=$C$3*12,$C333-$D333,"")</f>
        <v>1532.91930300646</v>
      </c>
      <c r="F333" s="29" t="n">
        <f aca="false">IF($A333&lt;=$C$3*12,$F332-$E333,"")</f>
        <v>57323.0621552827</v>
      </c>
    </row>
    <row r="334" customFormat="false" ht="13.8" hidden="false" customHeight="false" outlineLevel="0" collapsed="false">
      <c r="A334" s="27" t="n">
        <v>326</v>
      </c>
      <c r="B334" s="28" t="n">
        <f aca="false">IF($A334&lt;=$C$3*12,$A334,"")</f>
        <v>326</v>
      </c>
      <c r="C334" s="29" t="n">
        <f aca="false">IF($A334&lt;=$C$3*12,$E$3,"")</f>
        <v>1747.49840207314</v>
      </c>
      <c r="D334" s="29" t="n">
        <f aca="false">IF($A334&lt;=$C$3*12,F333*C$2/12,"")</f>
        <v>208.990330774468</v>
      </c>
      <c r="E334" s="29" t="n">
        <f aca="false">IF($A334&lt;=$C$3*12,$C334-$D334,"")</f>
        <v>1538.50807129867</v>
      </c>
      <c r="F334" s="29" t="n">
        <f aca="false">IF($A334&lt;=$C$3*12,$F333-$E334,"")</f>
        <v>55784.554083984</v>
      </c>
    </row>
    <row r="335" customFormat="false" ht="13.8" hidden="false" customHeight="false" outlineLevel="0" collapsed="false">
      <c r="A335" s="27" t="n">
        <v>327</v>
      </c>
      <c r="B335" s="28" t="n">
        <f aca="false">IF($A335&lt;=$C$3*12,$A335,"")</f>
        <v>327</v>
      </c>
      <c r="C335" s="29" t="n">
        <f aca="false">IF($A335&lt;=$C$3*12,$E$3,"")</f>
        <v>1747.49840207314</v>
      </c>
      <c r="D335" s="29" t="n">
        <f aca="false">IF($A335&lt;=$C$3*12,F334*C$2/12,"")</f>
        <v>203.381186764525</v>
      </c>
      <c r="E335" s="29" t="n">
        <f aca="false">IF($A335&lt;=$C$3*12,$C335-$D335,"")</f>
        <v>1544.11721530861</v>
      </c>
      <c r="F335" s="29" t="n">
        <f aca="false">IF($A335&lt;=$C$3*12,$F334-$E335,"")</f>
        <v>54240.4368686754</v>
      </c>
    </row>
    <row r="336" customFormat="false" ht="13.8" hidden="false" customHeight="false" outlineLevel="0" collapsed="false">
      <c r="A336" s="27" t="n">
        <v>328</v>
      </c>
      <c r="B336" s="28" t="n">
        <f aca="false">IF($A336&lt;=$C$3*12,$A336,"")</f>
        <v>328</v>
      </c>
      <c r="C336" s="29" t="n">
        <f aca="false">IF($A336&lt;=$C$3*12,$E$3,"")</f>
        <v>1747.49840207314</v>
      </c>
      <c r="D336" s="29" t="n">
        <f aca="false">IF($A336&lt;=$C$3*12,F335*C$2/12,"")</f>
        <v>197.751592750379</v>
      </c>
      <c r="E336" s="29" t="n">
        <f aca="false">IF($A336&lt;=$C$3*12,$C336-$D336,"")</f>
        <v>1549.74680932276</v>
      </c>
      <c r="F336" s="29" t="n">
        <f aca="false">IF($A336&lt;=$C$3*12,$F335-$E336,"")</f>
        <v>52690.6900593526</v>
      </c>
    </row>
    <row r="337" customFormat="false" ht="13.8" hidden="false" customHeight="false" outlineLevel="0" collapsed="false">
      <c r="A337" s="27" t="n">
        <v>329</v>
      </c>
      <c r="B337" s="28" t="n">
        <f aca="false">IF($A337&lt;=$C$3*12,$A337,"")</f>
        <v>329</v>
      </c>
      <c r="C337" s="29" t="n">
        <f aca="false">IF($A337&lt;=$C$3*12,$E$3,"")</f>
        <v>1747.49840207314</v>
      </c>
      <c r="D337" s="29" t="n">
        <f aca="false">IF($A337&lt;=$C$3*12,F336*C$2/12,"")</f>
        <v>192.101474174723</v>
      </c>
      <c r="E337" s="29" t="n">
        <f aca="false">IF($A337&lt;=$C$3*12,$C337-$D337,"")</f>
        <v>1555.39692789841</v>
      </c>
      <c r="F337" s="29" t="n">
        <f aca="false">IF($A337&lt;=$C$3*12,$F336-$E337,"")</f>
        <v>51135.2931314542</v>
      </c>
    </row>
    <row r="338" customFormat="false" ht="13.8" hidden="false" customHeight="false" outlineLevel="0" collapsed="false">
      <c r="A338" s="27" t="n">
        <v>330</v>
      </c>
      <c r="B338" s="28" t="n">
        <f aca="false">IF($A338&lt;=$C$3*12,$A338,"")</f>
        <v>330</v>
      </c>
      <c r="C338" s="29" t="n">
        <f aca="false">IF($A338&lt;=$C$3*12,$E$3,"")</f>
        <v>1747.49840207314</v>
      </c>
      <c r="D338" s="29" t="n">
        <f aca="false">IF($A338&lt;=$C$3*12,F337*C$2/12,"")</f>
        <v>186.430756208427</v>
      </c>
      <c r="E338" s="29" t="n">
        <f aca="false">IF($A338&lt;=$C$3*12,$C338-$D338,"")</f>
        <v>1561.06764586471</v>
      </c>
      <c r="F338" s="29" t="n">
        <f aca="false">IF($A338&lt;=$C$3*12,$F337-$E338,"")</f>
        <v>49574.2254855895</v>
      </c>
    </row>
    <row r="339" customFormat="false" ht="13.8" hidden="false" customHeight="false" outlineLevel="0" collapsed="false">
      <c r="A339" s="27" t="n">
        <v>331</v>
      </c>
      <c r="B339" s="28" t="n">
        <f aca="false">IF($A339&lt;=$C$3*12,$A339,"")</f>
        <v>331</v>
      </c>
      <c r="C339" s="29" t="n">
        <f aca="false">IF($A339&lt;=$C$3*12,$E$3,"")</f>
        <v>1747.49840207314</v>
      </c>
      <c r="D339" s="29" t="n">
        <f aca="false">IF($A339&lt;=$C$3*12,F338*C$2/12,"")</f>
        <v>180.739363749545</v>
      </c>
      <c r="E339" s="29" t="n">
        <f aca="false">IF($A339&lt;=$C$3*12,$C339-$D339,"")</f>
        <v>1566.75903832359</v>
      </c>
      <c r="F339" s="29" t="n">
        <f aca="false">IF($A339&lt;=$C$3*12,$F338-$E339,"")</f>
        <v>48007.4664472659</v>
      </c>
    </row>
    <row r="340" customFormat="false" ht="13.8" hidden="false" customHeight="false" outlineLevel="0" collapsed="false">
      <c r="A340" s="27" t="n">
        <v>332</v>
      </c>
      <c r="B340" s="28" t="n">
        <f aca="false">IF($A340&lt;=$C$3*12,$A340,"")</f>
        <v>332</v>
      </c>
      <c r="C340" s="29" t="n">
        <f aca="false">IF($A340&lt;=$C$3*12,$E$3,"")</f>
        <v>1747.49840207314</v>
      </c>
      <c r="D340" s="29" t="n">
        <f aca="false">IF($A340&lt;=$C$3*12,F339*C$2/12,"")</f>
        <v>175.027221422324</v>
      </c>
      <c r="E340" s="29" t="n">
        <f aca="false">IF($A340&lt;=$C$3*12,$C340-$D340,"")</f>
        <v>1572.47118065081</v>
      </c>
      <c r="F340" s="29" t="n">
        <f aca="false">IF($A340&lt;=$C$3*12,$F339-$E340,"")</f>
        <v>46434.9952666151</v>
      </c>
    </row>
    <row r="341" customFormat="false" ht="13.8" hidden="false" customHeight="false" outlineLevel="0" collapsed="false">
      <c r="A341" s="27" t="n">
        <v>333</v>
      </c>
      <c r="B341" s="28" t="n">
        <f aca="false">IF($A341&lt;=$C$3*12,$A341,"")</f>
        <v>333</v>
      </c>
      <c r="C341" s="29" t="n">
        <f aca="false">IF($A341&lt;=$C$3*12,$E$3,"")</f>
        <v>1747.49840207314</v>
      </c>
      <c r="D341" s="29" t="n">
        <f aca="false">IF($A341&lt;=$C$3*12,F340*C$2/12,"")</f>
        <v>169.294253576201</v>
      </c>
      <c r="E341" s="29" t="n">
        <f aca="false">IF($A341&lt;=$C$3*12,$C341-$D341,"")</f>
        <v>1578.20414849694</v>
      </c>
      <c r="F341" s="29" t="n">
        <f aca="false">IF($A341&lt;=$C$3*12,$F340-$E341,"")</f>
        <v>44856.7911181182</v>
      </c>
    </row>
    <row r="342" customFormat="false" ht="13.8" hidden="false" customHeight="false" outlineLevel="0" collapsed="false">
      <c r="A342" s="27" t="n">
        <v>334</v>
      </c>
      <c r="B342" s="28" t="n">
        <f aca="false">IF($A342&lt;=$C$3*12,$A342,"")</f>
        <v>334</v>
      </c>
      <c r="C342" s="29" t="n">
        <f aca="false">IF($A342&lt;=$C$3*12,$E$3,"")</f>
        <v>1747.49840207314</v>
      </c>
      <c r="D342" s="29" t="n">
        <f aca="false">IF($A342&lt;=$C$3*12,F341*C$2/12,"")</f>
        <v>163.540384284806</v>
      </c>
      <c r="E342" s="29" t="n">
        <f aca="false">IF($A342&lt;=$C$3*12,$C342-$D342,"")</f>
        <v>1583.95801778833</v>
      </c>
      <c r="F342" s="29" t="n">
        <f aca="false">IF($A342&lt;=$C$3*12,$F341-$E342,"")</f>
        <v>43272.8331003298</v>
      </c>
    </row>
    <row r="343" customFormat="false" ht="13.8" hidden="false" customHeight="false" outlineLevel="0" collapsed="false">
      <c r="A343" s="27" t="n">
        <v>335</v>
      </c>
      <c r="B343" s="28" t="n">
        <f aca="false">IF($A343&lt;=$C$3*12,$A343,"")</f>
        <v>335</v>
      </c>
      <c r="C343" s="29" t="n">
        <f aca="false">IF($A343&lt;=$C$3*12,$E$3,"")</f>
        <v>1747.49840207314</v>
      </c>
      <c r="D343" s="29" t="n">
        <f aca="false">IF($A343&lt;=$C$3*12,F342*C$2/12,"")</f>
        <v>157.765537344952</v>
      </c>
      <c r="E343" s="29" t="n">
        <f aca="false">IF($A343&lt;=$C$3*12,$C343-$D343,"")</f>
        <v>1589.73286472818</v>
      </c>
      <c r="F343" s="29" t="n">
        <f aca="false">IF($A343&lt;=$C$3*12,$F342-$E343,"")</f>
        <v>41683.1002356016</v>
      </c>
    </row>
    <row r="344" customFormat="false" ht="13.8" hidden="false" customHeight="false" outlineLevel="0" collapsed="false">
      <c r="A344" s="27" t="n">
        <v>336</v>
      </c>
      <c r="B344" s="28" t="n">
        <f aca="false">IF($A344&lt;=$C$3*12,$A344,"")</f>
        <v>336</v>
      </c>
      <c r="C344" s="29" t="n">
        <f aca="false">IF($A344&lt;=$C$3*12,$E$3,"")</f>
        <v>1747.49840207314</v>
      </c>
      <c r="D344" s="29" t="n">
        <f aca="false">IF($A344&lt;=$C$3*12,F343*C$2/12,"")</f>
        <v>151.969636275631</v>
      </c>
      <c r="E344" s="29" t="n">
        <f aca="false">IF($A344&lt;=$C$3*12,$C344-$D344,"")</f>
        <v>1595.52876579751</v>
      </c>
      <c r="F344" s="29" t="n">
        <f aca="false">IF($A344&lt;=$C$3*12,$F343-$E344,"")</f>
        <v>40087.5714698041</v>
      </c>
    </row>
    <row r="345" customFormat="false" ht="13.8" hidden="false" customHeight="false" outlineLevel="0" collapsed="false">
      <c r="A345" s="27" t="n">
        <v>337</v>
      </c>
      <c r="B345" s="28" t="n">
        <f aca="false">IF($A345&lt;=$C$3*12,$A345,"")</f>
        <v>337</v>
      </c>
      <c r="C345" s="29" t="n">
        <f aca="false">IF($A345&lt;=$C$3*12,$E$3,"")</f>
        <v>1747.49840207314</v>
      </c>
      <c r="D345" s="29" t="n">
        <f aca="false">IF($A345&lt;=$C$3*12,F344*C$2/12,"")</f>
        <v>146.152604316994</v>
      </c>
      <c r="E345" s="29" t="n">
        <f aca="false">IF($A345&lt;=$C$3*12,$C345-$D345,"")</f>
        <v>1601.34579775614</v>
      </c>
      <c r="F345" s="29" t="n">
        <f aca="false">IF($A345&lt;=$C$3*12,$F344-$E345,"")</f>
        <v>38486.225672048</v>
      </c>
    </row>
    <row r="346" customFormat="false" ht="13.8" hidden="false" customHeight="false" outlineLevel="0" collapsed="false">
      <c r="A346" s="27" t="n">
        <v>338</v>
      </c>
      <c r="B346" s="28" t="n">
        <f aca="false">IF($A346&lt;=$C$3*12,$A346,"")</f>
        <v>338</v>
      </c>
      <c r="C346" s="29" t="n">
        <f aca="false">IF($A346&lt;=$C$3*12,$E$3,"")</f>
        <v>1747.49840207314</v>
      </c>
      <c r="D346" s="29" t="n">
        <f aca="false">IF($A346&lt;=$C$3*12,F345*C$2/12,"")</f>
        <v>140.314364429342</v>
      </c>
      <c r="E346" s="29" t="n">
        <f aca="false">IF($A346&lt;=$C$3*12,$C346-$D346,"")</f>
        <v>1607.18403764379</v>
      </c>
      <c r="F346" s="29" t="n">
        <f aca="false">IF($A346&lt;=$C$3*12,$F345-$E346,"")</f>
        <v>36879.0416344042</v>
      </c>
    </row>
    <row r="347" customFormat="false" ht="13.8" hidden="false" customHeight="false" outlineLevel="0" collapsed="false">
      <c r="A347" s="27" t="n">
        <v>339</v>
      </c>
      <c r="B347" s="28" t="n">
        <f aca="false">IF($A347&lt;=$C$3*12,$A347,"")</f>
        <v>339</v>
      </c>
      <c r="C347" s="29" t="n">
        <f aca="false">IF($A347&lt;=$C$3*12,$E$3,"")</f>
        <v>1747.49840207314</v>
      </c>
      <c r="D347" s="29" t="n">
        <f aca="false">IF($A347&lt;=$C$3*12,F346*C$2/12,"")</f>
        <v>134.454839292099</v>
      </c>
      <c r="E347" s="29" t="n">
        <f aca="false">IF($A347&lt;=$C$3*12,$C347-$D347,"")</f>
        <v>1613.04356278104</v>
      </c>
      <c r="F347" s="29" t="n">
        <f aca="false">IF($A347&lt;=$C$3*12,$F346-$E347,"")</f>
        <v>35265.9980716232</v>
      </c>
    </row>
    <row r="348" customFormat="false" ht="13.8" hidden="false" customHeight="false" outlineLevel="0" collapsed="false">
      <c r="A348" s="27" t="n">
        <v>340</v>
      </c>
      <c r="B348" s="28" t="n">
        <f aca="false">IF($A348&lt;=$C$3*12,$A348,"")</f>
        <v>340</v>
      </c>
      <c r="C348" s="29" t="n">
        <f aca="false">IF($A348&lt;=$C$3*12,$E$3,"")</f>
        <v>1747.49840207314</v>
      </c>
      <c r="D348" s="29" t="n">
        <f aca="false">IF($A348&lt;=$C$3*12,F347*C$2/12,"")</f>
        <v>128.573951302793</v>
      </c>
      <c r="E348" s="29" t="n">
        <f aca="false">IF($A348&lt;=$C$3*12,$C348-$D348,"")</f>
        <v>1618.92445077034</v>
      </c>
      <c r="F348" s="29" t="n">
        <f aca="false">IF($A348&lt;=$C$3*12,$F347-$E348,"")</f>
        <v>33647.0736208528</v>
      </c>
    </row>
    <row r="349" customFormat="false" ht="13.8" hidden="false" customHeight="false" outlineLevel="0" collapsed="false">
      <c r="A349" s="27" t="n">
        <v>341</v>
      </c>
      <c r="B349" s="28" t="n">
        <f aca="false">IF($A349&lt;=$C$3*12,$A349,"")</f>
        <v>341</v>
      </c>
      <c r="C349" s="29" t="n">
        <f aca="false">IF($A349&lt;=$C$3*12,$E$3,"")</f>
        <v>1747.49840207314</v>
      </c>
      <c r="D349" s="29" t="n">
        <f aca="false">IF($A349&lt;=$C$3*12,F348*C$2/12,"")</f>
        <v>122.671622576026</v>
      </c>
      <c r="E349" s="29" t="n">
        <f aca="false">IF($A349&lt;=$C$3*12,$C349-$D349,"")</f>
        <v>1624.82677949711</v>
      </c>
      <c r="F349" s="29" t="n">
        <f aca="false">IF($A349&lt;=$C$3*12,$F348-$E349,"")</f>
        <v>32022.2468413557</v>
      </c>
    </row>
    <row r="350" customFormat="false" ht="13.8" hidden="false" customHeight="false" outlineLevel="0" collapsed="false">
      <c r="A350" s="27" t="n">
        <v>342</v>
      </c>
      <c r="B350" s="28" t="n">
        <f aca="false">IF($A350&lt;=$C$3*12,$A350,"")</f>
        <v>342</v>
      </c>
      <c r="C350" s="29" t="n">
        <f aca="false">IF($A350&lt;=$C$3*12,$E$3,"")</f>
        <v>1747.49840207314</v>
      </c>
      <c r="D350" s="29" t="n">
        <f aca="false">IF($A350&lt;=$C$3*12,F349*C$2/12,"")</f>
        <v>116.747774942443</v>
      </c>
      <c r="E350" s="29" t="n">
        <f aca="false">IF($A350&lt;=$C$3*12,$C350-$D350,"")</f>
        <v>1630.75062713069</v>
      </c>
      <c r="F350" s="29" t="n">
        <f aca="false">IF($A350&lt;=$C$3*12,$F349-$E350,"")</f>
        <v>30391.496214225</v>
      </c>
    </row>
    <row r="351" customFormat="false" ht="13.8" hidden="false" customHeight="false" outlineLevel="0" collapsed="false">
      <c r="A351" s="27" t="n">
        <v>343</v>
      </c>
      <c r="B351" s="28" t="n">
        <f aca="false">IF($A351&lt;=$C$3*12,$A351,"")</f>
        <v>343</v>
      </c>
      <c r="C351" s="29" t="n">
        <f aca="false">IF($A351&lt;=$C$3*12,$E$3,"")</f>
        <v>1747.49840207314</v>
      </c>
      <c r="D351" s="29" t="n">
        <f aca="false">IF($A351&lt;=$C$3*12,F350*C$2/12,"")</f>
        <v>110.802329947695</v>
      </c>
      <c r="E351" s="29" t="n">
        <f aca="false">IF($A351&lt;=$C$3*12,$C351-$D351,"")</f>
        <v>1636.69607212544</v>
      </c>
      <c r="F351" s="29" t="n">
        <f aca="false">IF($A351&lt;=$C$3*12,$F350-$E351,"")</f>
        <v>28754.8001420996</v>
      </c>
    </row>
    <row r="352" customFormat="false" ht="13.8" hidden="false" customHeight="false" outlineLevel="0" collapsed="false">
      <c r="A352" s="27" t="n">
        <v>344</v>
      </c>
      <c r="B352" s="28" t="n">
        <f aca="false">IF($A352&lt;=$C$3*12,$A352,"")</f>
        <v>344</v>
      </c>
      <c r="C352" s="29" t="n">
        <f aca="false">IF($A352&lt;=$C$3*12,$E$3,"")</f>
        <v>1747.49840207314</v>
      </c>
      <c r="D352" s="29" t="n">
        <f aca="false">IF($A352&lt;=$C$3*12,F351*C$2/12,"")</f>
        <v>104.835208851405</v>
      </c>
      <c r="E352" s="29" t="n">
        <f aca="false">IF($A352&lt;=$C$3*12,$C352-$D352,"")</f>
        <v>1642.66319322173</v>
      </c>
      <c r="F352" s="29" t="n">
        <f aca="false">IF($A352&lt;=$C$3*12,$F351-$E352,"")</f>
        <v>27112.1369488778</v>
      </c>
    </row>
    <row r="353" customFormat="false" ht="13.8" hidden="false" customHeight="false" outlineLevel="0" collapsed="false">
      <c r="A353" s="27" t="n">
        <v>345</v>
      </c>
      <c r="B353" s="28" t="n">
        <f aca="false">IF($A353&lt;=$C$3*12,$A353,"")</f>
        <v>345</v>
      </c>
      <c r="C353" s="29" t="n">
        <f aca="false">IF($A353&lt;=$C$3*12,$E$3,"")</f>
        <v>1747.49840207314</v>
      </c>
      <c r="D353" s="29" t="n">
        <f aca="false">IF($A353&lt;=$C$3*12,F352*C$2/12,"")</f>
        <v>98.8463326261171</v>
      </c>
      <c r="E353" s="29" t="n">
        <f aca="false">IF($A353&lt;=$C$3*12,$C353-$D353,"")</f>
        <v>1648.65206944702</v>
      </c>
      <c r="F353" s="29" t="n">
        <f aca="false">IF($A353&lt;=$C$3*12,$F352-$E353,"")</f>
        <v>25463.4848794308</v>
      </c>
    </row>
    <row r="354" customFormat="false" ht="13.8" hidden="false" customHeight="false" outlineLevel="0" collapsed="false">
      <c r="A354" s="27" t="n">
        <v>346</v>
      </c>
      <c r="B354" s="28" t="n">
        <f aca="false">IF($A354&lt;=$C$3*12,$A354,"")</f>
        <v>346</v>
      </c>
      <c r="C354" s="29" t="n">
        <f aca="false">IF($A354&lt;=$C$3*12,$E$3,"")</f>
        <v>1747.49840207314</v>
      </c>
      <c r="D354" s="29" t="n">
        <f aca="false">IF($A354&lt;=$C$3*12,F353*C$2/12,"")</f>
        <v>92.8356219562582</v>
      </c>
      <c r="E354" s="29" t="n">
        <f aca="false">IF($A354&lt;=$C$3*12,$C354-$D354,"")</f>
        <v>1654.66278011688</v>
      </c>
      <c r="F354" s="29" t="n">
        <f aca="false">IF($A354&lt;=$C$3*12,$F353-$E354,"")</f>
        <v>23808.8220993139</v>
      </c>
    </row>
    <row r="355" customFormat="false" ht="13.8" hidden="false" customHeight="false" outlineLevel="0" collapsed="false">
      <c r="A355" s="27" t="n">
        <v>347</v>
      </c>
      <c r="B355" s="28" t="n">
        <f aca="false">IF($A355&lt;=$C$3*12,$A355,"")</f>
        <v>347</v>
      </c>
      <c r="C355" s="29" t="n">
        <f aca="false">IF($A355&lt;=$C$3*12,$E$3,"")</f>
        <v>1747.49840207314</v>
      </c>
      <c r="D355" s="29" t="n">
        <f aca="false">IF($A355&lt;=$C$3*12,F354*C$2/12,"")</f>
        <v>86.8029972370821</v>
      </c>
      <c r="E355" s="29" t="n">
        <f aca="false">IF($A355&lt;=$C$3*12,$C355-$D355,"")</f>
        <v>1660.69540483605</v>
      </c>
      <c r="F355" s="29" t="n">
        <f aca="false">IF($A355&lt;=$C$3*12,$F354-$E355,"")</f>
        <v>22148.1266944779</v>
      </c>
    </row>
    <row r="356" customFormat="false" ht="13.8" hidden="false" customHeight="false" outlineLevel="0" collapsed="false">
      <c r="A356" s="27" t="n">
        <v>348</v>
      </c>
      <c r="B356" s="28" t="n">
        <f aca="false">IF($A356&lt;=$C$3*12,$A356,"")</f>
        <v>348</v>
      </c>
      <c r="C356" s="29" t="n">
        <f aca="false">IF($A356&lt;=$C$3*12,$E$3,"")</f>
        <v>1747.49840207314</v>
      </c>
      <c r="D356" s="29" t="n">
        <f aca="false">IF($A356&lt;=$C$3*12,F355*C$2/12,"")</f>
        <v>80.7483785736173</v>
      </c>
      <c r="E356" s="29" t="n">
        <f aca="false">IF($A356&lt;=$C$3*12,$C356-$D356,"")</f>
        <v>1666.75002349952</v>
      </c>
      <c r="F356" s="29" t="n">
        <f aca="false">IF($A356&lt;=$C$3*12,$F355-$E356,"")</f>
        <v>20481.3766709784</v>
      </c>
    </row>
    <row r="357" customFormat="false" ht="13.8" hidden="false" customHeight="false" outlineLevel="0" collapsed="false">
      <c r="A357" s="27" t="n">
        <v>349</v>
      </c>
      <c r="B357" s="28" t="n">
        <f aca="false">IF($A357&lt;=$C$3*12,$A357,"")</f>
        <v>349</v>
      </c>
      <c r="C357" s="29" t="n">
        <f aca="false">IF($A357&lt;=$C$3*12,$E$3,"")</f>
        <v>1747.49840207314</v>
      </c>
      <c r="D357" s="29" t="n">
        <f aca="false">IF($A357&lt;=$C$3*12,F356*C$2/12,"")</f>
        <v>74.6716857796086</v>
      </c>
      <c r="E357" s="29" t="n">
        <f aca="false">IF($A357&lt;=$C$3*12,$C357-$D357,"")</f>
        <v>1672.82671629353</v>
      </c>
      <c r="F357" s="29" t="n">
        <f aca="false">IF($A357&lt;=$C$3*12,$F356-$E357,"")</f>
        <v>18808.5499546848</v>
      </c>
    </row>
    <row r="358" customFormat="false" ht="13.8" hidden="false" customHeight="false" outlineLevel="0" collapsed="false">
      <c r="A358" s="27" t="n">
        <v>350</v>
      </c>
      <c r="B358" s="28" t="n">
        <f aca="false">IF($A358&lt;=$C$3*12,$A358,"")</f>
        <v>350</v>
      </c>
      <c r="C358" s="29" t="n">
        <f aca="false">IF($A358&lt;=$C$3*12,$E$3,"")</f>
        <v>1747.49840207314</v>
      </c>
      <c r="D358" s="29" t="n">
        <f aca="false">IF($A358&lt;=$C$3*12,F357*C$2/12,"")</f>
        <v>68.5728383764551</v>
      </c>
      <c r="E358" s="29" t="n">
        <f aca="false">IF($A358&lt;=$C$3*12,$C358-$D358,"")</f>
        <v>1678.92556369668</v>
      </c>
      <c r="F358" s="29" t="n">
        <f aca="false">IF($A358&lt;=$C$3*12,$F357-$E358,"")</f>
        <v>17129.6243909882</v>
      </c>
    </row>
    <row r="359" customFormat="false" ht="13.8" hidden="false" customHeight="false" outlineLevel="0" collapsed="false">
      <c r="A359" s="27" t="n">
        <v>351</v>
      </c>
      <c r="B359" s="28" t="n">
        <f aca="false">IF($A359&lt;=$C$3*12,$A359,"")</f>
        <v>351</v>
      </c>
      <c r="C359" s="29" t="n">
        <f aca="false">IF($A359&lt;=$C$3*12,$E$3,"")</f>
        <v>1747.49840207314</v>
      </c>
      <c r="D359" s="29" t="n">
        <f aca="false">IF($A359&lt;=$C$3*12,F358*C$2/12,"")</f>
        <v>62.4517555921443</v>
      </c>
      <c r="E359" s="29" t="n">
        <f aca="false">IF($A359&lt;=$C$3*12,$C359-$D359,"")</f>
        <v>1685.04664648099</v>
      </c>
      <c r="F359" s="29" t="n">
        <f aca="false">IF($A359&lt;=$C$3*12,$F358-$E359,"")</f>
        <v>15444.5777445072</v>
      </c>
    </row>
    <row r="360" customFormat="false" ht="13.8" hidden="false" customHeight="false" outlineLevel="0" collapsed="false">
      <c r="A360" s="27" t="n">
        <v>352</v>
      </c>
      <c r="B360" s="28" t="n">
        <f aca="false">IF($A360&lt;=$C$3*12,$A360,"")</f>
        <v>352</v>
      </c>
      <c r="C360" s="29" t="n">
        <f aca="false">IF($A360&lt;=$C$3*12,$E$3,"")</f>
        <v>1747.49840207314</v>
      </c>
      <c r="D360" s="29" t="n">
        <f aca="false">IF($A360&lt;=$C$3*12,F359*C$2/12,"")</f>
        <v>56.3083563601824</v>
      </c>
      <c r="E360" s="29" t="n">
        <f aca="false">IF($A360&lt;=$C$3*12,$C360-$D360,"")</f>
        <v>1691.19004571295</v>
      </c>
      <c r="F360" s="29" t="n">
        <f aca="false">IF($A360&lt;=$C$3*12,$F359-$E360,"")</f>
        <v>13753.3876987942</v>
      </c>
    </row>
    <row r="361" customFormat="false" ht="13.8" hidden="false" customHeight="false" outlineLevel="0" collapsed="false">
      <c r="A361" s="27" t="n">
        <v>353</v>
      </c>
      <c r="B361" s="28" t="n">
        <f aca="false">IF($A361&lt;=$C$3*12,$A361,"")</f>
        <v>353</v>
      </c>
      <c r="C361" s="29" t="n">
        <f aca="false">IF($A361&lt;=$C$3*12,$E$3,"")</f>
        <v>1747.49840207314</v>
      </c>
      <c r="D361" s="29" t="n">
        <f aca="false">IF($A361&lt;=$C$3*12,F360*C$2/12,"")</f>
        <v>50.1425593185205</v>
      </c>
      <c r="E361" s="29" t="n">
        <f aca="false">IF($A361&lt;=$C$3*12,$C361-$D361,"")</f>
        <v>1697.35584275462</v>
      </c>
      <c r="F361" s="29" t="n">
        <f aca="false">IF($A361&lt;=$C$3*12,$F360-$E361,"")</f>
        <v>12056.0318560396</v>
      </c>
    </row>
    <row r="362" customFormat="false" ht="13.8" hidden="false" customHeight="false" outlineLevel="0" collapsed="false">
      <c r="A362" s="27" t="n">
        <v>354</v>
      </c>
      <c r="B362" s="28" t="n">
        <f aca="false">IF($A362&lt;=$C$3*12,$A362,"")</f>
        <v>354</v>
      </c>
      <c r="C362" s="29" t="n">
        <f aca="false">IF($A362&lt;=$C$3*12,$E$3,"")</f>
        <v>1747.49840207314</v>
      </c>
      <c r="D362" s="29" t="n">
        <f aca="false">IF($A362&lt;=$C$3*12,F361*C$2/12,"")</f>
        <v>43.9542828084777</v>
      </c>
      <c r="E362" s="29" t="n">
        <f aca="false">IF($A362&lt;=$C$3*12,$C362-$D362,"")</f>
        <v>1703.54411926466</v>
      </c>
      <c r="F362" s="29" t="n">
        <f aca="false">IF($A362&lt;=$C$3*12,$F361-$E362,"")</f>
        <v>10352.4877367749</v>
      </c>
    </row>
    <row r="363" customFormat="false" ht="13.8" hidden="false" customHeight="false" outlineLevel="0" collapsed="false">
      <c r="A363" s="27" t="n">
        <v>355</v>
      </c>
      <c r="B363" s="28" t="n">
        <f aca="false">IF($A363&lt;=$C$3*12,$A363,"")</f>
        <v>355</v>
      </c>
      <c r="C363" s="29" t="n">
        <f aca="false">IF($A363&lt;=$C$3*12,$E$3,"")</f>
        <v>1747.49840207314</v>
      </c>
      <c r="D363" s="29" t="n">
        <f aca="false">IF($A363&lt;=$C$3*12,F362*C$2/12,"")</f>
        <v>37.7434448736586</v>
      </c>
      <c r="E363" s="29" t="n">
        <f aca="false">IF($A363&lt;=$C$3*12,$C363-$D363,"")</f>
        <v>1709.75495719948</v>
      </c>
      <c r="F363" s="29" t="n">
        <f aca="false">IF($A363&lt;=$C$3*12,$F362-$E363,"")</f>
        <v>8642.73277957546</v>
      </c>
    </row>
    <row r="364" customFormat="false" ht="13.8" hidden="false" customHeight="false" outlineLevel="0" collapsed="false">
      <c r="A364" s="27" t="n">
        <v>356</v>
      </c>
      <c r="B364" s="28" t="n">
        <f aca="false">IF($A364&lt;=$C$3*12,$A364,"")</f>
        <v>356</v>
      </c>
      <c r="C364" s="29" t="n">
        <f aca="false">IF($A364&lt;=$C$3*12,$E$3,"")</f>
        <v>1747.49840207314</v>
      </c>
      <c r="D364" s="29" t="n">
        <f aca="false">IF($A364&lt;=$C$3*12,F363*C$2/12,"")</f>
        <v>31.5099632588689</v>
      </c>
      <c r="E364" s="29" t="n">
        <f aca="false">IF($A364&lt;=$C$3*12,$C364-$D364,"")</f>
        <v>1715.98843881427</v>
      </c>
      <c r="F364" s="29" t="n">
        <f aca="false">IF($A364&lt;=$C$3*12,$F363-$E364,"")</f>
        <v>6926.74434076119</v>
      </c>
    </row>
    <row r="365" customFormat="false" ht="13.8" hidden="false" customHeight="false" outlineLevel="0" collapsed="false">
      <c r="A365" s="27" t="n">
        <v>357</v>
      </c>
      <c r="B365" s="28" t="n">
        <f aca="false">IF($A365&lt;=$C$3*12,$A365,"")</f>
        <v>357</v>
      </c>
      <c r="C365" s="29" t="n">
        <f aca="false">IF($A365&lt;=$C$3*12,$E$3,"")</f>
        <v>1747.49840207314</v>
      </c>
      <c r="D365" s="29" t="n">
        <f aca="false">IF($A365&lt;=$C$3*12,F364*C$2/12,"")</f>
        <v>25.2537554090252</v>
      </c>
      <c r="E365" s="29" t="n">
        <f aca="false">IF($A365&lt;=$C$3*12,$C365-$D365,"")</f>
        <v>1722.24464666411</v>
      </c>
      <c r="F365" s="29" t="n">
        <f aca="false">IF($A365&lt;=$C$3*12,$F364-$E365,"")</f>
        <v>5204.49969409708</v>
      </c>
    </row>
    <row r="366" customFormat="false" ht="13.8" hidden="false" customHeight="false" outlineLevel="0" collapsed="false">
      <c r="A366" s="27" t="n">
        <v>358</v>
      </c>
      <c r="B366" s="28" t="n">
        <f aca="false">IF($A366&lt;=$C$3*12,$A366,"")</f>
        <v>358</v>
      </c>
      <c r="C366" s="29" t="n">
        <f aca="false">IF($A366&lt;=$C$3*12,$E$3,"")</f>
        <v>1747.49840207314</v>
      </c>
      <c r="D366" s="29" t="n">
        <f aca="false">IF($A366&lt;=$C$3*12,F365*C$2/12,"")</f>
        <v>18.9747384680623</v>
      </c>
      <c r="E366" s="29" t="n">
        <f aca="false">IF($A366&lt;=$C$3*12,$C366-$D366,"")</f>
        <v>1728.52366360507</v>
      </c>
      <c r="F366" s="29" t="n">
        <f aca="false">IF($A366&lt;=$C$3*12,$F365-$E366,"")</f>
        <v>3475.976030492</v>
      </c>
    </row>
    <row r="367" customFormat="false" ht="13.8" hidden="false" customHeight="false" outlineLevel="0" collapsed="false">
      <c r="A367" s="27" t="n">
        <v>359</v>
      </c>
      <c r="B367" s="28" t="n">
        <f aca="false">IF($A367&lt;=$C$3*12,$A367,"")</f>
        <v>359</v>
      </c>
      <c r="C367" s="29" t="n">
        <f aca="false">IF($A367&lt;=$C$3*12,$E$3,"")</f>
        <v>1747.49840207314</v>
      </c>
      <c r="D367" s="29" t="n">
        <f aca="false">IF($A367&lt;=$C$3*12,F366*C$2/12,"")</f>
        <v>12.6728292778354</v>
      </c>
      <c r="E367" s="29" t="n">
        <f aca="false">IF($A367&lt;=$C$3*12,$C367-$D367,"")</f>
        <v>1734.8255727953</v>
      </c>
      <c r="F367" s="29" t="n">
        <f aca="false">IF($A367&lt;=$C$3*12,$F366-$E367,"")</f>
        <v>1741.1504576967</v>
      </c>
    </row>
    <row r="368" customFormat="false" ht="13.8" hidden="false" customHeight="false" outlineLevel="0" collapsed="false">
      <c r="A368" s="27" t="n">
        <v>360</v>
      </c>
      <c r="B368" s="28" t="n">
        <f aca="false">IF($A368&lt;=$C$3*12,$A368,"")</f>
        <v>360</v>
      </c>
      <c r="C368" s="29" t="n">
        <f aca="false">IF($A368&lt;=$C$3*12,$E$3,"")</f>
        <v>1747.49840207314</v>
      </c>
      <c r="D368" s="29" t="n">
        <f aca="false">IF($A368&lt;=$C$3*12,F367*C$2/12,"")</f>
        <v>6.34794437701923</v>
      </c>
      <c r="E368" s="29" t="n">
        <f aca="false">IF($A368&lt;=$C$3*12,$C368-$D368,"")</f>
        <v>1741.15045769612</v>
      </c>
      <c r="F368" s="29" t="n">
        <f aca="false">IF($A368&lt;=$C$3*12,$F367-$E368,"")</f>
        <v>5.86851456318982E-010</v>
      </c>
    </row>
    <row r="369" customFormat="false" ht="15" hidden="false" customHeight="false" outlineLevel="0" collapsed="false">
      <c r="A369" s="2"/>
      <c r="C369" s="31"/>
      <c r="D369" s="31"/>
      <c r="F369" s="31"/>
    </row>
    <row r="370" customFormat="false" ht="15" hidden="false" customHeight="false" outlineLevel="0" collapsed="false">
      <c r="A370" s="2"/>
    </row>
    <row r="371" customFormat="false" ht="15" hidden="false" customHeight="false" outlineLevel="0" collapsed="false">
      <c r="A371" s="2"/>
    </row>
  </sheetData>
  <mergeCells count="1">
    <mergeCell ref="H1:I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</TotalTime>
  <Application>LibreOffice/6.4.3.2$Linux_X86_64 LibreOffice_project/40$Build-2</Application>
  <Company>Georgia Institute of Technology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2020-05-14T03:11:46Z</dcterms:created>
  <dc:creator>Garner, Jacqueline L</dc:creator>
  <dc:description/>
  <dc:language>en-US</dc:language>
  <cp:lastModifiedBy/>
  <dcterms:modified xsi:type="dcterms:W3CDTF">2020-05-29T07:38:42Z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Georgia Institute of Technology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